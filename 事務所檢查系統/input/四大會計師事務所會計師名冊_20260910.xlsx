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彙總統計" sheetId="1" state="visible" r:id="rId1"/>
    <sheet name="全部名單" sheetId="2" state="visible" r:id="rId2"/>
    <sheet name="Deloitte 勤業眾信" sheetId="3" state="visible" r:id="rId3"/>
    <sheet name="PwC 資誠" sheetId="4" state="visible" r:id="rId4"/>
    <sheet name="KPMG 安侯建業" sheetId="5" state="visible" r:id="rId5"/>
    <sheet name="EY 安永" sheetId="6" state="visible" r:id="rId6"/>
  </sheets>
  <definedNames>
    <definedName name="_xlnm._FilterDatabase" localSheetId="1" hidden="1">'全部名單'!$A$1:$O$499</definedName>
    <definedName name="_xlnm._FilterDatabase" localSheetId="2" hidden="1">'Deloitte 勤業眾信'!$A$1:$O$194</definedName>
    <definedName name="_xlnm._FilterDatabase" localSheetId="3" hidden="1">'PwC 資誠'!$A$1:$O$128</definedName>
    <definedName name="_xlnm._FilterDatabase" localSheetId="4" hidden="1">'KPMG 安侯建業'!$A$1:$O$113</definedName>
    <definedName name="_xlnm._FilterDatabase" localSheetId="5" hidden="1">'EY 安永'!$A$1:$O$67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sz val="11"/>
    </font>
    <font>
      <name val="Arial"/>
      <color rgb="0040404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四大會計師事務所 執業會計師人數彙總</t>
        </is>
      </c>
    </row>
    <row r="2">
      <c r="A2" s="2" t="inlineStr">
        <is>
          <t>資料來源：中華民國會計師公會全國聯合會「執業入會查詢－全國聯合會」(https://www.roccpa.org.tw/member_search/)</t>
        </is>
      </c>
    </row>
    <row r="3">
      <c r="A3" s="2" t="inlineStr">
        <is>
          <t>擷取日期：2026-09-10　範圍：查詢狀態為「可執業」之執業登記會計師，共 498 位</t>
        </is>
      </c>
    </row>
    <row r="5" ht="22" customHeight="1">
      <c r="A5" s="3" t="inlineStr">
        <is>
          <t>事務所</t>
        </is>
      </c>
      <c r="B5" s="3" t="inlineStr">
        <is>
          <t>台北總所</t>
        </is>
      </c>
      <c r="C5" s="3" t="inlineStr">
        <is>
          <t>桃園分所</t>
        </is>
      </c>
      <c r="D5" s="3" t="inlineStr">
        <is>
          <t>新竹分所</t>
        </is>
      </c>
      <c r="E5" s="3" t="inlineStr">
        <is>
          <t>台中分所</t>
        </is>
      </c>
      <c r="F5" s="3" t="inlineStr">
        <is>
          <t>台南分所</t>
        </is>
      </c>
      <c r="G5" s="3" t="inlineStr">
        <is>
          <t>高雄分所</t>
        </is>
      </c>
      <c r="H5" s="3" t="inlineStr">
        <is>
          <t>合計</t>
        </is>
      </c>
    </row>
    <row r="6">
      <c r="A6" s="4" t="inlineStr">
        <is>
          <t>Deloitte 勤業眾信</t>
        </is>
      </c>
      <c r="B6" s="5">
        <f>COUNTIFS(全部名單!$B$2:$B$499,"勤業眾信聯合會計師事務所",全部名單!$E$2:$E$499,"台北總所")</f>
        <v/>
      </c>
      <c r="C6" s="5">
        <f>COUNTIFS(全部名單!$B$2:$B$499,"勤業眾信聯合會計師事務所",全部名單!$E$2:$E$499,"桃園分所")</f>
        <v/>
      </c>
      <c r="D6" s="5">
        <f>COUNTIFS(全部名單!$B$2:$B$499,"勤業眾信聯合會計師事務所",全部名單!$E$2:$E$499,"新竹分所")</f>
        <v/>
      </c>
      <c r="E6" s="5">
        <f>COUNTIFS(全部名單!$B$2:$B$499,"勤業眾信聯合會計師事務所",全部名單!$E$2:$E$499,"台中分所")</f>
        <v/>
      </c>
      <c r="F6" s="5">
        <f>COUNTIFS(全部名單!$B$2:$B$499,"勤業眾信聯合會計師事務所",全部名單!$E$2:$E$499,"台南分所")</f>
        <v/>
      </c>
      <c r="G6" s="5">
        <f>COUNTIFS(全部名單!$B$2:$B$499,"勤業眾信聯合會計師事務所",全部名單!$E$2:$E$499,"高雄分所")</f>
        <v/>
      </c>
      <c r="H6" s="6">
        <f>SUM(B6:G6)</f>
        <v/>
      </c>
    </row>
    <row r="7">
      <c r="A7" s="4" t="inlineStr">
        <is>
          <t>PwC 資誠</t>
        </is>
      </c>
      <c r="B7" s="5">
        <f>COUNTIFS(全部名單!$B$2:$B$499,"資誠聯合會計師事務所",全部名單!$E$2:$E$499,"台北總所")</f>
        <v/>
      </c>
      <c r="C7" s="5">
        <f>COUNTIFS(全部名單!$B$2:$B$499,"資誠聯合會計師事務所",全部名單!$E$2:$E$499,"桃園分所")</f>
        <v/>
      </c>
      <c r="D7" s="5">
        <f>COUNTIFS(全部名單!$B$2:$B$499,"資誠聯合會計師事務所",全部名單!$E$2:$E$499,"新竹分所")</f>
        <v/>
      </c>
      <c r="E7" s="5">
        <f>COUNTIFS(全部名單!$B$2:$B$499,"資誠聯合會計師事務所",全部名單!$E$2:$E$499,"台中分所")</f>
        <v/>
      </c>
      <c r="F7" s="5">
        <f>COUNTIFS(全部名單!$B$2:$B$499,"資誠聯合會計師事務所",全部名單!$E$2:$E$499,"台南分所")</f>
        <v/>
      </c>
      <c r="G7" s="5">
        <f>COUNTIFS(全部名單!$B$2:$B$499,"資誠聯合會計師事務所",全部名單!$E$2:$E$499,"高雄分所")</f>
        <v/>
      </c>
      <c r="H7" s="6">
        <f>SUM(B7:G7)</f>
        <v/>
      </c>
    </row>
    <row r="8">
      <c r="A8" s="4" t="inlineStr">
        <is>
          <t>KPMG 安侯建業</t>
        </is>
      </c>
      <c r="B8" s="5">
        <f>COUNTIFS(全部名單!$B$2:$B$499,"安侯建業聯合會計師事務所",全部名單!$E$2:$E$499,"台北總所")</f>
        <v/>
      </c>
      <c r="C8" s="5">
        <f>COUNTIFS(全部名單!$B$2:$B$499,"安侯建業聯合會計師事務所",全部名單!$E$2:$E$499,"桃園分所")</f>
        <v/>
      </c>
      <c r="D8" s="5">
        <f>COUNTIFS(全部名單!$B$2:$B$499,"安侯建業聯合會計師事務所",全部名單!$E$2:$E$499,"新竹分所")</f>
        <v/>
      </c>
      <c r="E8" s="5">
        <f>COUNTIFS(全部名單!$B$2:$B$499,"安侯建業聯合會計師事務所",全部名單!$E$2:$E$499,"台中分所")</f>
        <v/>
      </c>
      <c r="F8" s="5">
        <f>COUNTIFS(全部名單!$B$2:$B$499,"安侯建業聯合會計師事務所",全部名單!$E$2:$E$499,"台南分所")</f>
        <v/>
      </c>
      <c r="G8" s="5">
        <f>COUNTIFS(全部名單!$B$2:$B$499,"安侯建業聯合會計師事務所",全部名單!$E$2:$E$499,"高雄分所")</f>
        <v/>
      </c>
      <c r="H8" s="6">
        <f>SUM(B8:G8)</f>
        <v/>
      </c>
    </row>
    <row r="9">
      <c r="A9" s="4" t="inlineStr">
        <is>
          <t>EY 安永</t>
        </is>
      </c>
      <c r="B9" s="5">
        <f>COUNTIFS(全部名單!$B$2:$B$499,"安永聯合會計師事務所",全部名單!$E$2:$E$499,"台北總所")</f>
        <v/>
      </c>
      <c r="C9" s="5">
        <f>COUNTIFS(全部名單!$B$2:$B$499,"安永聯合會計師事務所",全部名單!$E$2:$E$499,"桃園分所")</f>
        <v/>
      </c>
      <c r="D9" s="5">
        <f>COUNTIFS(全部名單!$B$2:$B$499,"安永聯合會計師事務所",全部名單!$E$2:$E$499,"新竹分所")</f>
        <v/>
      </c>
      <c r="E9" s="5">
        <f>COUNTIFS(全部名單!$B$2:$B$499,"安永聯合會計師事務所",全部名單!$E$2:$E$499,"台中分所")</f>
        <v/>
      </c>
      <c r="F9" s="5">
        <f>COUNTIFS(全部名單!$B$2:$B$499,"安永聯合會計師事務所",全部名單!$E$2:$E$499,"台南分所")</f>
        <v/>
      </c>
      <c r="G9" s="5">
        <f>COUNTIFS(全部名單!$B$2:$B$499,"安永聯合會計師事務所",全部名單!$E$2:$E$499,"高雄分所")</f>
        <v/>
      </c>
      <c r="H9" s="6">
        <f>SUM(B9:G9)</f>
        <v/>
      </c>
    </row>
    <row r="10">
      <c r="A10" s="4" t="inlineStr">
        <is>
          <t>合計</t>
        </is>
      </c>
      <c r="B10" s="7">
        <f>SUM(B6:B9)</f>
        <v/>
      </c>
      <c r="C10" s="7">
        <f>SUM(C6:C9)</f>
        <v/>
      </c>
      <c r="D10" s="7">
        <f>SUM(D6:D9)</f>
        <v/>
      </c>
      <c r="E10" s="7">
        <f>SUM(E6:E9)</f>
        <v/>
      </c>
      <c r="F10" s="7">
        <f>SUM(F6:F9)</f>
        <v/>
      </c>
      <c r="G10" s="7">
        <f>SUM(G6:G9)</f>
        <v/>
      </c>
      <c r="H10" s="7">
        <f>SUM(H6:H9)</f>
        <v/>
      </c>
    </row>
    <row r="12">
      <c r="A12" s="8" t="inlineStr">
        <is>
          <t>欄位說明</t>
        </is>
      </c>
    </row>
    <row r="13">
      <c r="A13" s="9" t="inlineStr">
        <is>
          <t>1. 「所屬分所」係依網站「分事務所地址」欄位之縣市自動歸類；該欄位空白者歸為「台北總所」（即主事務所所在地）。</t>
        </is>
      </c>
    </row>
    <row r="14">
      <c r="A14" s="9" t="inlineStr">
        <is>
          <t>2. 「辦公室地址」＝有分事務所地址者取分事務所地址，否則取主事務所地址。</t>
        </is>
      </c>
    </row>
    <row r="15">
      <c r="A15" s="9" t="inlineStr">
        <is>
          <t>3. 「所屬公會」代碼：北市＝台北市會計師公會、中市＝臺中市會計師公會、高市＝高雄市會計師公會、省＝臺灣省會計師公會。</t>
        </is>
      </c>
    </row>
    <row r="16">
      <c r="A16" s="9" t="inlineStr">
        <is>
          <t>4. 本表僅含全國聯合會執業登記名單，未含各地方公會另行登錄但未完成全聯會執業登記者。</t>
        </is>
      </c>
    </row>
    <row r="17">
      <c r="A17" s="9" t="inlineStr">
        <is>
          <t>5. 同一會計師若同時登記主事務所與分事務所，網站僅提供一組分事務所地址，故一人僅歸屬一個分所。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2" customWidth="1" min="4" max="4"/>
    <col width="11" customWidth="1" min="5" max="5"/>
    <col width="40" customWidth="1" min="6" max="6"/>
    <col width="32" customWidth="1" min="7" max="7"/>
    <col width="32" customWidth="1" min="8" max="8"/>
    <col width="14" customWidth="1" min="9" max="9"/>
    <col width="26" customWidth="1" min="10" max="10"/>
    <col width="10" customWidth="1" min="11" max="11"/>
    <col width="12" customWidth="1" min="12" max="12"/>
    <col width="10" customWidth="1" min="13" max="13"/>
    <col width="15" customWidth="1" min="14" max="14"/>
    <col width="60" customWidth="1" min="15" max="15"/>
  </cols>
  <sheetData>
    <row r="1" ht="22" customHeight="1">
      <c r="A1" s="3" t="inlineStr">
        <is>
          <t>序號</t>
        </is>
      </c>
      <c r="B1" s="3" t="inlineStr">
        <is>
          <t>事務所名稱</t>
        </is>
      </c>
      <c r="C1" s="3" t="inlineStr">
        <is>
          <t>國際品牌</t>
        </is>
      </c>
      <c r="D1" s="3" t="inlineStr">
        <is>
          <t>會計師姓名</t>
        </is>
      </c>
      <c r="E1" s="3" t="inlineStr">
        <is>
          <t>所屬分所</t>
        </is>
      </c>
      <c r="F1" s="3" t="inlineStr">
        <is>
          <t>辦公室地址</t>
        </is>
      </c>
      <c r="G1" s="3" t="inlineStr">
        <is>
          <t>主事務所地址</t>
        </is>
      </c>
      <c r="H1" s="3" t="inlineStr">
        <is>
          <t>分事務所地址</t>
        </is>
      </c>
      <c r="I1" s="3" t="inlineStr">
        <is>
          <t>執業登記日期</t>
        </is>
      </c>
      <c r="J1" s="3" t="inlineStr">
        <is>
          <t>執業登記文號</t>
        </is>
      </c>
      <c r="K1" s="3" t="inlineStr">
        <is>
          <t>所屬公會</t>
        </is>
      </c>
      <c r="L1" s="3" t="inlineStr">
        <is>
          <t>入會日期</t>
        </is>
      </c>
      <c r="M1" s="3" t="inlineStr">
        <is>
          <t>會籍編號</t>
        </is>
      </c>
      <c r="N1" s="3" t="inlineStr">
        <is>
          <t>資料最後更新日</t>
        </is>
      </c>
      <c r="O1" s="3" t="inlineStr">
        <is>
          <t>明細連結</t>
        </is>
      </c>
    </row>
    <row r="2">
      <c r="A2" s="10" t="n">
        <v>1</v>
      </c>
      <c r="B2" s="11" t="inlineStr">
        <is>
          <t>勤業眾信聯合會計師事務所</t>
        </is>
      </c>
      <c r="C2" s="11" t="inlineStr">
        <is>
          <t>Deloitte 勤業眾信</t>
        </is>
      </c>
      <c r="D2" s="11" t="inlineStr">
        <is>
          <t>侯玉燡</t>
        </is>
      </c>
      <c r="E2" s="10" t="inlineStr">
        <is>
          <t>台北總所</t>
        </is>
      </c>
      <c r="F2" s="12" t="inlineStr">
        <is>
          <t>台北市信義區松仁路100號20樓</t>
        </is>
      </c>
      <c r="G2" s="12" t="inlineStr">
        <is>
          <t>台北市信義區松仁路100號20樓</t>
        </is>
      </c>
      <c r="H2" s="12" t="inlineStr"/>
      <c r="I2" s="10" t="inlineStr">
        <is>
          <t>110/06/09</t>
        </is>
      </c>
      <c r="J2" s="11" t="inlineStr">
        <is>
          <t>全聯會一字第1100233</t>
        </is>
      </c>
      <c r="K2" s="10" t="inlineStr">
        <is>
          <t>北市</t>
        </is>
      </c>
      <c r="L2" s="10" t="inlineStr">
        <is>
          <t>110/06/09</t>
        </is>
      </c>
      <c r="M2" s="10" t="inlineStr">
        <is>
          <t>4338</t>
        </is>
      </c>
      <c r="N2" s="10" t="inlineStr">
        <is>
          <t>2026-06-05</t>
        </is>
      </c>
      <c r="O2" s="11" t="inlineStr">
        <is>
          <t>https://www.roccpa.org.tw/member_search/more?id=3005F4E1-61C5-4100-8FF0-5BF2F667E759</t>
        </is>
      </c>
    </row>
    <row r="3">
      <c r="A3" s="10" t="n">
        <v>2</v>
      </c>
      <c r="B3" s="11" t="inlineStr">
        <is>
          <t>勤業眾信聯合會計師事務所</t>
        </is>
      </c>
      <c r="C3" s="11" t="inlineStr">
        <is>
          <t>Deloitte 勤業眾信</t>
        </is>
      </c>
      <c r="D3" s="11" t="inlineStr">
        <is>
          <t>劉力維</t>
        </is>
      </c>
      <c r="E3" s="10" t="inlineStr">
        <is>
          <t>台北總所</t>
        </is>
      </c>
      <c r="F3" s="12" t="inlineStr">
        <is>
          <t>台北市信義區松仁路100號20樓</t>
        </is>
      </c>
      <c r="G3" s="12" t="inlineStr">
        <is>
          <t>台北市信義區松仁路100號20樓</t>
        </is>
      </c>
      <c r="H3" s="12" t="inlineStr"/>
      <c r="I3" s="10" t="inlineStr">
        <is>
          <t>111/06/10</t>
        </is>
      </c>
      <c r="J3" s="11" t="inlineStr">
        <is>
          <t>全聯會一字第1110221</t>
        </is>
      </c>
      <c r="K3" s="10" t="inlineStr">
        <is>
          <t>北市</t>
        </is>
      </c>
      <c r="L3" s="10" t="inlineStr">
        <is>
          <t>111/06/10</t>
        </is>
      </c>
      <c r="M3" s="10" t="inlineStr">
        <is>
          <t>4433</t>
        </is>
      </c>
      <c r="N3" s="10" t="inlineStr">
        <is>
          <t>2026-06-05</t>
        </is>
      </c>
      <c r="O3" s="11" t="inlineStr">
        <is>
          <t>https://www.roccpa.org.tw/member_search/more?id=6423F685-3F47-4E0E-A3B1-8DCE4666C896</t>
        </is>
      </c>
    </row>
    <row r="4">
      <c r="A4" s="10" t="n">
        <v>3</v>
      </c>
      <c r="B4" s="11" t="inlineStr">
        <is>
          <t>勤業眾信聯合會計師事務所</t>
        </is>
      </c>
      <c r="C4" s="11" t="inlineStr">
        <is>
          <t>Deloitte 勤業眾信</t>
        </is>
      </c>
      <c r="D4" s="11" t="inlineStr">
        <is>
          <t>劉建良</t>
        </is>
      </c>
      <c r="E4" s="10" t="inlineStr">
        <is>
          <t>台北總所</t>
        </is>
      </c>
      <c r="F4" s="12" t="inlineStr">
        <is>
          <t>台北市信義區松仁路100號20樓</t>
        </is>
      </c>
      <c r="G4" s="12" t="inlineStr">
        <is>
          <t>台北市信義區松仁路100號20樓</t>
        </is>
      </c>
      <c r="H4" s="12" t="inlineStr"/>
      <c r="I4" s="10" t="inlineStr">
        <is>
          <t>100/05/25</t>
        </is>
      </c>
      <c r="J4" s="11" t="inlineStr">
        <is>
          <t>全聯會一字第1000207</t>
        </is>
      </c>
      <c r="K4" s="10" t="inlineStr">
        <is>
          <t>北市</t>
        </is>
      </c>
      <c r="L4" s="10" t="inlineStr">
        <is>
          <t>100/06/07</t>
        </is>
      </c>
      <c r="M4" s="10" t="inlineStr">
        <is>
          <t>3354</t>
        </is>
      </c>
      <c r="N4" s="10" t="inlineStr">
        <is>
          <t>2026-06-05</t>
        </is>
      </c>
      <c r="O4" s="11" t="inlineStr">
        <is>
          <t>https://www.roccpa.org.tw/member_search/more?id=80DA8D03-FCFC-42D8-A83E-38EA6AF532F3</t>
        </is>
      </c>
    </row>
    <row r="5">
      <c r="A5" s="10" t="n">
        <v>4</v>
      </c>
      <c r="B5" s="11" t="inlineStr">
        <is>
          <t>勤業眾信聯合會計師事務所</t>
        </is>
      </c>
      <c r="C5" s="11" t="inlineStr">
        <is>
          <t>Deloitte 勤業眾信</t>
        </is>
      </c>
      <c r="D5" s="11" t="inlineStr">
        <is>
          <t>劉怡青</t>
        </is>
      </c>
      <c r="E5" s="10" t="inlineStr">
        <is>
          <t>台北總所</t>
        </is>
      </c>
      <c r="F5" s="12" t="inlineStr">
        <is>
          <t>台北市信義區松仁路100號20樓</t>
        </is>
      </c>
      <c r="G5" s="12" t="inlineStr">
        <is>
          <t>台北市信義區松仁路100號20樓</t>
        </is>
      </c>
      <c r="H5" s="12" t="inlineStr"/>
      <c r="I5" s="10" t="inlineStr">
        <is>
          <t>110/06/09</t>
        </is>
      </c>
      <c r="J5" s="11" t="inlineStr">
        <is>
          <t>全聯會一字第1100225</t>
        </is>
      </c>
      <c r="K5" s="10" t="inlineStr">
        <is>
          <t>北市</t>
        </is>
      </c>
      <c r="L5" s="10" t="inlineStr">
        <is>
          <t>110/06/09</t>
        </is>
      </c>
      <c r="M5" s="10" t="inlineStr">
        <is>
          <t>4330</t>
        </is>
      </c>
      <c r="N5" s="10" t="inlineStr">
        <is>
          <t>2026-06-05</t>
        </is>
      </c>
      <c r="O5" s="11" t="inlineStr">
        <is>
          <t>https://www.roccpa.org.tw/member_search/more?id=D91CD5AA-C9AA-4CD0-86EF-DAA5002E83E3</t>
        </is>
      </c>
    </row>
    <row r="6">
      <c r="A6" s="10" t="n">
        <v>5</v>
      </c>
      <c r="B6" s="11" t="inlineStr">
        <is>
          <t>勤業眾信聯合會計師事務所</t>
        </is>
      </c>
      <c r="C6" s="11" t="inlineStr">
        <is>
          <t>Deloitte 勤業眾信</t>
        </is>
      </c>
      <c r="D6" s="11" t="inlineStr">
        <is>
          <t>劉振宇</t>
        </is>
      </c>
      <c r="E6" s="10" t="inlineStr">
        <is>
          <t>台北總所</t>
        </is>
      </c>
      <c r="F6" s="12" t="inlineStr">
        <is>
          <t>台北市信義區松仁路100號20樓</t>
        </is>
      </c>
      <c r="G6" s="12" t="inlineStr">
        <is>
          <t>台北市信義區松仁路100號20樓</t>
        </is>
      </c>
      <c r="H6" s="12" t="inlineStr"/>
      <c r="I6" s="10" t="inlineStr">
        <is>
          <t>115/06/15</t>
        </is>
      </c>
      <c r="J6" s="11" t="inlineStr">
        <is>
          <t>全聯會一字第1150000289號</t>
        </is>
      </c>
      <c r="K6" s="10" t="inlineStr">
        <is>
          <t>北市</t>
        </is>
      </c>
      <c r="L6" s="10" t="inlineStr">
        <is>
          <t>115/06/15</t>
        </is>
      </c>
      <c r="M6" s="10" t="inlineStr">
        <is>
          <t>4896</t>
        </is>
      </c>
      <c r="N6" s="10" t="inlineStr">
        <is>
          <t>2026-06-23</t>
        </is>
      </c>
      <c r="O6" s="11" t="inlineStr">
        <is>
          <t>https://www.roccpa.org.tw/member_search/more?id=f982591700b54d4b89e36c33ea8fc556</t>
        </is>
      </c>
    </row>
    <row r="7">
      <c r="A7" s="10" t="n">
        <v>6</v>
      </c>
      <c r="B7" s="11" t="inlineStr">
        <is>
          <t>勤業眾信聯合會計師事務所</t>
        </is>
      </c>
      <c r="C7" s="11" t="inlineStr">
        <is>
          <t>Deloitte 勤業眾信</t>
        </is>
      </c>
      <c r="D7" s="11" t="inlineStr">
        <is>
          <t>劉明賢</t>
        </is>
      </c>
      <c r="E7" s="10" t="inlineStr">
        <is>
          <t>台北總所</t>
        </is>
      </c>
      <c r="F7" s="12" t="inlineStr">
        <is>
          <t>台北市信義區松仁路100號20樓</t>
        </is>
      </c>
      <c r="G7" s="12" t="inlineStr">
        <is>
          <t>台北市信義區松仁路100號20樓</t>
        </is>
      </c>
      <c r="H7" s="12" t="inlineStr"/>
      <c r="I7" s="10" t="inlineStr">
        <is>
          <t>110/06/09</t>
        </is>
      </c>
      <c r="J7" s="11" t="inlineStr">
        <is>
          <t>全聯會一字第1100227</t>
        </is>
      </c>
      <c r="K7" s="10" t="inlineStr">
        <is>
          <t>北市</t>
        </is>
      </c>
      <c r="L7" s="10" t="inlineStr">
        <is>
          <t>110/06/09</t>
        </is>
      </c>
      <c r="M7" s="10" t="inlineStr">
        <is>
          <t>4332</t>
        </is>
      </c>
      <c r="N7" s="10" t="inlineStr">
        <is>
          <t>2026-06-05</t>
        </is>
      </c>
      <c r="O7" s="11" t="inlineStr">
        <is>
          <t>https://www.roccpa.org.tw/member_search/more?id=DC8924EE-20A9-41B4-9C6B-8A49FE225275</t>
        </is>
      </c>
    </row>
    <row r="8">
      <c r="A8" s="10" t="n">
        <v>7</v>
      </c>
      <c r="B8" s="11" t="inlineStr">
        <is>
          <t>勤業眾信聯合會計師事務所</t>
        </is>
      </c>
      <c r="C8" s="11" t="inlineStr">
        <is>
          <t>Deloitte 勤業眾信</t>
        </is>
      </c>
      <c r="D8" s="11" t="inlineStr">
        <is>
          <t>劉書琳</t>
        </is>
      </c>
      <c r="E8" s="10" t="inlineStr">
        <is>
          <t>台北總所</t>
        </is>
      </c>
      <c r="F8" s="12" t="inlineStr">
        <is>
          <t>台北市信義區松仁路100號20樓</t>
        </is>
      </c>
      <c r="G8" s="12" t="inlineStr">
        <is>
          <t>台北市信義區松仁路100號20樓</t>
        </is>
      </c>
      <c r="H8" s="12" t="inlineStr"/>
      <c r="I8" s="10" t="inlineStr">
        <is>
          <t>105/06/01</t>
        </is>
      </c>
      <c r="J8" s="11" t="inlineStr">
        <is>
          <t>全聯會一字第1050250</t>
        </is>
      </c>
      <c r="K8" s="10" t="inlineStr">
        <is>
          <t>北市</t>
        </is>
      </c>
      <c r="L8" s="10" t="inlineStr">
        <is>
          <t>105/06/13</t>
        </is>
      </c>
      <c r="M8" s="10" t="inlineStr">
        <is>
          <t>3937</t>
        </is>
      </c>
      <c r="N8" s="10" t="inlineStr">
        <is>
          <t>2026-06-05</t>
        </is>
      </c>
      <c r="O8" s="11" t="inlineStr">
        <is>
          <t>https://www.roccpa.org.tw/member_search/more?id=D11D583E-46D4-4239-993F-6658FF47F152</t>
        </is>
      </c>
    </row>
    <row r="9">
      <c r="A9" s="10" t="n">
        <v>8</v>
      </c>
      <c r="B9" s="11" t="inlineStr">
        <is>
          <t>勤業眾信聯合會計師事務所</t>
        </is>
      </c>
      <c r="C9" s="11" t="inlineStr">
        <is>
          <t>Deloitte 勤業眾信</t>
        </is>
      </c>
      <c r="D9" s="11" t="inlineStr">
        <is>
          <t>劉紋伶</t>
        </is>
      </c>
      <c r="E9" s="10" t="inlineStr">
        <is>
          <t>台北總所</t>
        </is>
      </c>
      <c r="F9" s="12" t="inlineStr">
        <is>
          <t>台北市信義區松仁路100號20樓</t>
        </is>
      </c>
      <c r="G9" s="12" t="inlineStr">
        <is>
          <t>台北市信義區松仁路100號20樓</t>
        </is>
      </c>
      <c r="H9" s="12" t="inlineStr"/>
      <c r="I9" s="10" t="inlineStr">
        <is>
          <t>113/06/19</t>
        </is>
      </c>
      <c r="J9" s="11" t="inlineStr">
        <is>
          <t>全聯會一字第1130000278號</t>
        </is>
      </c>
      <c r="K9" s="10" t="inlineStr">
        <is>
          <t>北市</t>
        </is>
      </c>
      <c r="L9" s="10" t="inlineStr">
        <is>
          <t>113/06/19</t>
        </is>
      </c>
      <c r="M9" s="10" t="inlineStr">
        <is>
          <t>4635</t>
        </is>
      </c>
      <c r="N9" s="10" t="inlineStr">
        <is>
          <t>2026-06-05</t>
        </is>
      </c>
      <c r="O9" s="11" t="inlineStr">
        <is>
          <t>https://www.roccpa.org.tw/member_search/more?id=ABC7DC62-E5AF-4C2F-ACE1-9D39DB9D0037</t>
        </is>
      </c>
    </row>
    <row r="10">
      <c r="A10" s="10" t="n">
        <v>9</v>
      </c>
      <c r="B10" s="11" t="inlineStr">
        <is>
          <t>勤業眾信聯合會計師事務所</t>
        </is>
      </c>
      <c r="C10" s="11" t="inlineStr">
        <is>
          <t>Deloitte 勤業眾信</t>
        </is>
      </c>
      <c r="D10" s="11" t="inlineStr">
        <is>
          <t>劉紋廷</t>
        </is>
      </c>
      <c r="E10" s="10" t="inlineStr">
        <is>
          <t>台北總所</t>
        </is>
      </c>
      <c r="F10" s="12" t="inlineStr">
        <is>
          <t>台北市信義區松仁路100號20樓</t>
        </is>
      </c>
      <c r="G10" s="12" t="inlineStr">
        <is>
          <t>台北市信義區松仁路100號20樓</t>
        </is>
      </c>
      <c r="H10" s="12" t="inlineStr"/>
      <c r="I10" s="10" t="inlineStr">
        <is>
          <t>115/06/15</t>
        </is>
      </c>
      <c r="J10" s="11" t="inlineStr">
        <is>
          <t>全聯會一字第1150000284號</t>
        </is>
      </c>
      <c r="K10" s="10" t="inlineStr">
        <is>
          <t>北市</t>
        </is>
      </c>
      <c r="L10" s="10" t="inlineStr">
        <is>
          <t>115/06/15</t>
        </is>
      </c>
      <c r="M10" s="10" t="inlineStr">
        <is>
          <t>4901</t>
        </is>
      </c>
      <c r="N10" s="10" t="inlineStr">
        <is>
          <t>2026-06-23</t>
        </is>
      </c>
      <c r="O10" s="11" t="inlineStr">
        <is>
          <t>https://www.roccpa.org.tw/member_search/more?id=827ae8718493401f9576d5ac9eb5be76</t>
        </is>
      </c>
    </row>
    <row r="11">
      <c r="A11" s="10" t="n">
        <v>10</v>
      </c>
      <c r="B11" s="11" t="inlineStr">
        <is>
          <t>勤業眾信聯合會計師事務所</t>
        </is>
      </c>
      <c r="C11" s="11" t="inlineStr">
        <is>
          <t>Deloitte 勤業眾信</t>
        </is>
      </c>
      <c r="D11" s="11" t="inlineStr">
        <is>
          <t>吳世宗</t>
        </is>
      </c>
      <c r="E11" s="10" t="inlineStr">
        <is>
          <t>台北總所</t>
        </is>
      </c>
      <c r="F11" s="12" t="inlineStr">
        <is>
          <t>台北市信義區松仁路100號20樓</t>
        </is>
      </c>
      <c r="G11" s="12" t="inlineStr">
        <is>
          <t>台北市信義區松仁路100號20樓</t>
        </is>
      </c>
      <c r="H11" s="12" t="inlineStr"/>
      <c r="I11" s="10" t="inlineStr">
        <is>
          <t>101/06/04</t>
        </is>
      </c>
      <c r="J11" s="11" t="inlineStr">
        <is>
          <t>全聯會一字第1010178</t>
        </is>
      </c>
      <c r="K11" s="10" t="inlineStr">
        <is>
          <t>北市</t>
        </is>
      </c>
      <c r="L11" s="10" t="inlineStr">
        <is>
          <t>101/06/14</t>
        </is>
      </c>
      <c r="M11" s="10" t="inlineStr">
        <is>
          <t>3470</t>
        </is>
      </c>
      <c r="N11" s="10" t="inlineStr">
        <is>
          <t>2026-06-05</t>
        </is>
      </c>
      <c r="O11" s="11" t="inlineStr">
        <is>
          <t>https://www.roccpa.org.tw/member_search/more?id=4BE1AABB-8682-4922-95B3-2FEEBBB5A0DD</t>
        </is>
      </c>
    </row>
    <row r="12">
      <c r="A12" s="10" t="n">
        <v>11</v>
      </c>
      <c r="B12" s="11" t="inlineStr">
        <is>
          <t>勤業眾信聯合會計師事務所</t>
        </is>
      </c>
      <c r="C12" s="11" t="inlineStr">
        <is>
          <t>Deloitte 勤業眾信</t>
        </is>
      </c>
      <c r="D12" s="11" t="inlineStr">
        <is>
          <t>吳怡君</t>
        </is>
      </c>
      <c r="E12" s="10" t="inlineStr">
        <is>
          <t>台北總所</t>
        </is>
      </c>
      <c r="F12" s="12" t="inlineStr">
        <is>
          <t>台北市信義區松仁路100號20樓</t>
        </is>
      </c>
      <c r="G12" s="12" t="inlineStr">
        <is>
          <t>台北市信義區松仁路100號20樓</t>
        </is>
      </c>
      <c r="H12" s="12" t="inlineStr"/>
      <c r="I12" s="10" t="inlineStr"/>
      <c r="J12" s="11" t="inlineStr"/>
      <c r="K12" s="10" t="inlineStr">
        <is>
          <t>北市</t>
        </is>
      </c>
      <c r="L12" s="10" t="inlineStr">
        <is>
          <t>093/06/10</t>
        </is>
      </c>
      <c r="M12" s="10" t="inlineStr">
        <is>
          <t>2661</t>
        </is>
      </c>
      <c r="N12" s="10" t="inlineStr">
        <is>
          <t>2026-06-05</t>
        </is>
      </c>
      <c r="O12" s="11" t="inlineStr">
        <is>
          <t>https://www.roccpa.org.tw/member_search/more?id=0DC99E99-351F-4F1D-BAED-551C3F32F43D</t>
        </is>
      </c>
    </row>
    <row r="13">
      <c r="A13" s="10" t="n">
        <v>12</v>
      </c>
      <c r="B13" s="11" t="inlineStr">
        <is>
          <t>勤業眾信聯合會計師事務所</t>
        </is>
      </c>
      <c r="C13" s="11" t="inlineStr">
        <is>
          <t>Deloitte 勤業眾信</t>
        </is>
      </c>
      <c r="D13" s="11" t="inlineStr">
        <is>
          <t>吳恪昌</t>
        </is>
      </c>
      <c r="E13" s="10" t="inlineStr">
        <is>
          <t>台北總所</t>
        </is>
      </c>
      <c r="F13" s="12" t="inlineStr">
        <is>
          <t>台北市信義區松仁路100號20樓</t>
        </is>
      </c>
      <c r="G13" s="12" t="inlineStr">
        <is>
          <t>台北市信義區松仁路100號20樓</t>
        </is>
      </c>
      <c r="H13" s="12" t="inlineStr"/>
      <c r="I13" s="10" t="inlineStr">
        <is>
          <t>100/05/25</t>
        </is>
      </c>
      <c r="J13" s="11" t="inlineStr">
        <is>
          <t>全聯會一字第1000210</t>
        </is>
      </c>
      <c r="K13" s="10" t="inlineStr">
        <is>
          <t>北市</t>
        </is>
      </c>
      <c r="L13" s="10" t="inlineStr">
        <is>
          <t>100/06/07</t>
        </is>
      </c>
      <c r="M13" s="10" t="inlineStr">
        <is>
          <t>3357</t>
        </is>
      </c>
      <c r="N13" s="10" t="inlineStr">
        <is>
          <t>2026-06-05</t>
        </is>
      </c>
      <c r="O13" s="11" t="inlineStr">
        <is>
          <t>https://www.roccpa.org.tw/member_search/more?id=F4BF39AB-F306-4487-AFFC-66B1626B79E4</t>
        </is>
      </c>
    </row>
    <row r="14">
      <c r="A14" s="10" t="n">
        <v>13</v>
      </c>
      <c r="B14" s="11" t="inlineStr">
        <is>
          <t>勤業眾信聯合會計師事務所</t>
        </is>
      </c>
      <c r="C14" s="11" t="inlineStr">
        <is>
          <t>Deloitte 勤業眾信</t>
        </is>
      </c>
      <c r="D14" s="11" t="inlineStr">
        <is>
          <t>吳美慧</t>
        </is>
      </c>
      <c r="E14" s="10" t="inlineStr">
        <is>
          <t>台北總所</t>
        </is>
      </c>
      <c r="F14" s="12" t="inlineStr">
        <is>
          <t>台北市信義區松仁路100號20樓</t>
        </is>
      </c>
      <c r="G14" s="12" t="inlineStr">
        <is>
          <t>台北市信義區松仁路100號20樓</t>
        </is>
      </c>
      <c r="H14" s="12" t="inlineStr"/>
      <c r="I14" s="10" t="inlineStr"/>
      <c r="J14" s="11" t="inlineStr"/>
      <c r="K14" s="10" t="inlineStr">
        <is>
          <t>北市</t>
        </is>
      </c>
      <c r="L14" s="10" t="inlineStr">
        <is>
          <t>089/11/13</t>
        </is>
      </c>
      <c r="M14" s="10" t="inlineStr">
        <is>
          <t>2301</t>
        </is>
      </c>
      <c r="N14" s="10" t="inlineStr">
        <is>
          <t>2026-06-05</t>
        </is>
      </c>
      <c r="O14" s="11" t="inlineStr">
        <is>
          <t>https://www.roccpa.org.tw/member_search/more?id=E1B90370-7D87-474A-9A11-D7F24C193C45</t>
        </is>
      </c>
    </row>
    <row r="15">
      <c r="A15" s="10" t="n">
        <v>14</v>
      </c>
      <c r="B15" s="11" t="inlineStr">
        <is>
          <t>勤業眾信聯合會計師事務所</t>
        </is>
      </c>
      <c r="C15" s="11" t="inlineStr">
        <is>
          <t>Deloitte 勤業眾信</t>
        </is>
      </c>
      <c r="D15" s="11" t="inlineStr">
        <is>
          <t>吳鈞麟</t>
        </is>
      </c>
      <c r="E15" s="10" t="inlineStr">
        <is>
          <t>台北總所</t>
        </is>
      </c>
      <c r="F15" s="12" t="inlineStr">
        <is>
          <t>台北市信義區松仁路100號20樓</t>
        </is>
      </c>
      <c r="G15" s="12" t="inlineStr">
        <is>
          <t>台北市信義區松仁路100號20樓</t>
        </is>
      </c>
      <c r="H15" s="12" t="inlineStr"/>
      <c r="I15" s="10" t="inlineStr">
        <is>
          <t>113/06/19</t>
        </is>
      </c>
      <c r="J15" s="11" t="inlineStr">
        <is>
          <t>全聯會一字第1130000280號</t>
        </is>
      </c>
      <c r="K15" s="10" t="inlineStr">
        <is>
          <t>北市</t>
        </is>
      </c>
      <c r="L15" s="10" t="inlineStr">
        <is>
          <t>113/06/19</t>
        </is>
      </c>
      <c r="M15" s="10" t="inlineStr">
        <is>
          <t>4637</t>
        </is>
      </c>
      <c r="N15" s="10" t="inlineStr">
        <is>
          <t>2026-06-05</t>
        </is>
      </c>
      <c r="O15" s="11" t="inlineStr">
        <is>
          <t>https://www.roccpa.org.tw/member_search/more?id=6BB7B9CF-C767-45A3-B123-8BD038D8916E</t>
        </is>
      </c>
    </row>
    <row r="16">
      <c r="A16" s="10" t="n">
        <v>15</v>
      </c>
      <c r="B16" s="11" t="inlineStr">
        <is>
          <t>勤業眾信聯合會計師事務所</t>
        </is>
      </c>
      <c r="C16" s="11" t="inlineStr">
        <is>
          <t>Deloitte 勤業眾信</t>
        </is>
      </c>
      <c r="D16" s="11" t="inlineStr">
        <is>
          <t>呂宜真</t>
        </is>
      </c>
      <c r="E16" s="10" t="inlineStr">
        <is>
          <t>台北總所</t>
        </is>
      </c>
      <c r="F16" s="12" t="inlineStr">
        <is>
          <t>台北市信義區松仁路100號20樓</t>
        </is>
      </c>
      <c r="G16" s="12" t="inlineStr">
        <is>
          <t>台北市信義區松仁路100號20樓</t>
        </is>
      </c>
      <c r="H16" s="12" t="inlineStr"/>
      <c r="I16" s="10" t="inlineStr">
        <is>
          <t>108/06/12</t>
        </is>
      </c>
      <c r="J16" s="11" t="inlineStr">
        <is>
          <t>全聯會一字第1080207</t>
        </is>
      </c>
      <c r="K16" s="10" t="inlineStr">
        <is>
          <t>北市</t>
        </is>
      </c>
      <c r="L16" s="10" t="inlineStr">
        <is>
          <t>108/06/12</t>
        </is>
      </c>
      <c r="M16" s="10" t="inlineStr">
        <is>
          <t>4171</t>
        </is>
      </c>
      <c r="N16" s="10" t="inlineStr">
        <is>
          <t>2026-06-05</t>
        </is>
      </c>
      <c r="O16" s="11" t="inlineStr">
        <is>
          <t>https://www.roccpa.org.tw/member_search/more?id=F1F0537D-0184-4092-A7C1-E45D63985B2D</t>
        </is>
      </c>
    </row>
    <row r="17">
      <c r="A17" s="10" t="n">
        <v>16</v>
      </c>
      <c r="B17" s="11" t="inlineStr">
        <is>
          <t>勤業眾信聯合會計師事務所</t>
        </is>
      </c>
      <c r="C17" s="11" t="inlineStr">
        <is>
          <t>Deloitte 勤業眾信</t>
        </is>
      </c>
      <c r="D17" s="11" t="inlineStr">
        <is>
          <t>呂相瑩</t>
        </is>
      </c>
      <c r="E17" s="10" t="inlineStr">
        <is>
          <t>台北總所</t>
        </is>
      </c>
      <c r="F17" s="12" t="inlineStr">
        <is>
          <t>台北市信義區松仁路100號20樓</t>
        </is>
      </c>
      <c r="G17" s="12" t="inlineStr">
        <is>
          <t>台北市信義區松仁路100號20樓</t>
        </is>
      </c>
      <c r="H17" s="12" t="inlineStr"/>
      <c r="I17" s="10" t="inlineStr">
        <is>
          <t>112/06/08</t>
        </is>
      </c>
      <c r="J17" s="11" t="inlineStr">
        <is>
          <t>全聯會一字第1120224</t>
        </is>
      </c>
      <c r="K17" s="10" t="inlineStr">
        <is>
          <t>北市</t>
        </is>
      </c>
      <c r="L17" s="10" t="inlineStr">
        <is>
          <t>112/06/08</t>
        </is>
      </c>
      <c r="M17" s="10" t="inlineStr">
        <is>
          <t>4530</t>
        </is>
      </c>
      <c r="N17" s="10" t="inlineStr">
        <is>
          <t>2026-06-05</t>
        </is>
      </c>
      <c r="O17" s="11" t="inlineStr">
        <is>
          <t>https://www.roccpa.org.tw/member_search/more?id=50490783-E4EC-4921-932A-A645450346E7</t>
        </is>
      </c>
    </row>
    <row r="18">
      <c r="A18" s="10" t="n">
        <v>17</v>
      </c>
      <c r="B18" s="11" t="inlineStr">
        <is>
          <t>勤業眾信聯合會計師事務所</t>
        </is>
      </c>
      <c r="C18" s="11" t="inlineStr">
        <is>
          <t>Deloitte 勤業眾信</t>
        </is>
      </c>
      <c r="D18" s="11" t="inlineStr">
        <is>
          <t>周仕杰</t>
        </is>
      </c>
      <c r="E18" s="10" t="inlineStr">
        <is>
          <t>台北總所</t>
        </is>
      </c>
      <c r="F18" s="12" t="inlineStr">
        <is>
          <t>台北市信義區松仁路100號20樓</t>
        </is>
      </c>
      <c r="G18" s="12" t="inlineStr">
        <is>
          <t>台北市信義區松仁路100號20樓</t>
        </is>
      </c>
      <c r="H18" s="12" t="inlineStr"/>
      <c r="I18" s="10" t="inlineStr">
        <is>
          <t>111/06/10</t>
        </is>
      </c>
      <c r="J18" s="11" t="inlineStr">
        <is>
          <t>全聯會一字第1110217</t>
        </is>
      </c>
      <c r="K18" s="10" t="inlineStr">
        <is>
          <t>北市</t>
        </is>
      </c>
      <c r="L18" s="10" t="inlineStr">
        <is>
          <t>111/06/10</t>
        </is>
      </c>
      <c r="M18" s="10" t="inlineStr">
        <is>
          <t>4429</t>
        </is>
      </c>
      <c r="N18" s="10" t="inlineStr">
        <is>
          <t>2026-06-05</t>
        </is>
      </c>
      <c r="O18" s="11" t="inlineStr">
        <is>
          <t>https://www.roccpa.org.tw/member_search/more?id=BB7E2A76-0446-4D87-A31D-0535B4848099</t>
        </is>
      </c>
    </row>
    <row r="19">
      <c r="A19" s="10" t="n">
        <v>18</v>
      </c>
      <c r="B19" s="11" t="inlineStr">
        <is>
          <t>勤業眾信聯合會計師事務所</t>
        </is>
      </c>
      <c r="C19" s="11" t="inlineStr">
        <is>
          <t>Deloitte 勤業眾信</t>
        </is>
      </c>
      <c r="D19" s="11" t="inlineStr">
        <is>
          <t>周以隆</t>
        </is>
      </c>
      <c r="E19" s="10" t="inlineStr">
        <is>
          <t>台北總所</t>
        </is>
      </c>
      <c r="F19" s="12" t="inlineStr">
        <is>
          <t>台北市信義區松仁路100號20樓</t>
        </is>
      </c>
      <c r="G19" s="12" t="inlineStr">
        <is>
          <t>台北市信義區松仁路100號20樓</t>
        </is>
      </c>
      <c r="H19" s="12" t="inlineStr"/>
      <c r="I19" s="10" t="inlineStr"/>
      <c r="J19" s="11" t="inlineStr"/>
      <c r="K19" s="10" t="inlineStr">
        <is>
          <t>北市</t>
        </is>
      </c>
      <c r="L19" s="10" t="inlineStr">
        <is>
          <t>093/06/10</t>
        </is>
      </c>
      <c r="M19" s="10" t="inlineStr">
        <is>
          <t>2654</t>
        </is>
      </c>
      <c r="N19" s="10" t="inlineStr">
        <is>
          <t>2026-06-05</t>
        </is>
      </c>
      <c r="O19" s="11" t="inlineStr">
        <is>
          <t>https://www.roccpa.org.tw/member_search/more?id=BD0A1037-DB4C-436E-95E7-55F395ABBD68</t>
        </is>
      </c>
    </row>
    <row r="20">
      <c r="A20" s="10" t="n">
        <v>19</v>
      </c>
      <c r="B20" s="11" t="inlineStr">
        <is>
          <t>勤業眾信聯合會計師事務所</t>
        </is>
      </c>
      <c r="C20" s="11" t="inlineStr">
        <is>
          <t>Deloitte 勤業眾信</t>
        </is>
      </c>
      <c r="D20" s="11" t="inlineStr">
        <is>
          <t>周正國</t>
        </is>
      </c>
      <c r="E20" s="10" t="inlineStr">
        <is>
          <t>台北總所</t>
        </is>
      </c>
      <c r="F20" s="12" t="inlineStr">
        <is>
          <t>台北市信義區松仁路100號20樓</t>
        </is>
      </c>
      <c r="G20" s="12" t="inlineStr">
        <is>
          <t>台北市信義區松仁路100號20樓</t>
        </is>
      </c>
      <c r="H20" s="12" t="inlineStr"/>
      <c r="I20" s="10" t="inlineStr">
        <is>
          <t>115/06/15</t>
        </is>
      </c>
      <c r="J20" s="11" t="inlineStr">
        <is>
          <t>全聯會一字第1150000285號</t>
        </is>
      </c>
      <c r="K20" s="10" t="inlineStr">
        <is>
          <t>北市</t>
        </is>
      </c>
      <c r="L20" s="10" t="inlineStr">
        <is>
          <t>115/06/15</t>
        </is>
      </c>
      <c r="M20" s="10" t="inlineStr">
        <is>
          <t>4892</t>
        </is>
      </c>
      <c r="N20" s="10" t="inlineStr">
        <is>
          <t>2026-06-23</t>
        </is>
      </c>
      <c r="O20" s="11" t="inlineStr">
        <is>
          <t>https://www.roccpa.org.tw/member_search/more?id=848f6c9fd2984866a3adab8e1355f8c1</t>
        </is>
      </c>
    </row>
    <row r="21">
      <c r="A21" s="10" t="n">
        <v>20</v>
      </c>
      <c r="B21" s="11" t="inlineStr">
        <is>
          <t>勤業眾信聯合會計師事務所</t>
        </is>
      </c>
      <c r="C21" s="11" t="inlineStr">
        <is>
          <t>Deloitte 勤業眾信</t>
        </is>
      </c>
      <c r="D21" s="11" t="inlineStr">
        <is>
          <t>姚勝雄</t>
        </is>
      </c>
      <c r="E21" s="10" t="inlineStr">
        <is>
          <t>台北總所</t>
        </is>
      </c>
      <c r="F21" s="12" t="inlineStr">
        <is>
          <t>台北市信義區松仁路100號20樓</t>
        </is>
      </c>
      <c r="G21" s="12" t="inlineStr">
        <is>
          <t>台北市信義區松仁路100號20樓</t>
        </is>
      </c>
      <c r="H21" s="12" t="inlineStr"/>
      <c r="I21" s="10" t="inlineStr">
        <is>
          <t>101/06/04</t>
        </is>
      </c>
      <c r="J21" s="11" t="inlineStr">
        <is>
          <t>全聯會一字第1010179</t>
        </is>
      </c>
      <c r="K21" s="10" t="inlineStr">
        <is>
          <t>北市</t>
        </is>
      </c>
      <c r="L21" s="10" t="inlineStr">
        <is>
          <t>101/06/14</t>
        </is>
      </c>
      <c r="M21" s="10" t="inlineStr">
        <is>
          <t>3471</t>
        </is>
      </c>
      <c r="N21" s="10" t="inlineStr">
        <is>
          <t>2026-06-05</t>
        </is>
      </c>
      <c r="O21" s="11" t="inlineStr">
        <is>
          <t>https://www.roccpa.org.tw/member_search/more?id=A622E5B3-327A-42A0-891F-354E8A10874F</t>
        </is>
      </c>
    </row>
    <row r="22">
      <c r="A22" s="10" t="n">
        <v>21</v>
      </c>
      <c r="B22" s="11" t="inlineStr">
        <is>
          <t>勤業眾信聯合會計師事務所</t>
        </is>
      </c>
      <c r="C22" s="11" t="inlineStr">
        <is>
          <t>Deloitte 勤業眾信</t>
        </is>
      </c>
      <c r="D22" s="11" t="inlineStr">
        <is>
          <t>婁朧允</t>
        </is>
      </c>
      <c r="E22" s="10" t="inlineStr">
        <is>
          <t>台北總所</t>
        </is>
      </c>
      <c r="F22" s="12" t="inlineStr">
        <is>
          <t>台北市信義區松仁路100號20樓</t>
        </is>
      </c>
      <c r="G22" s="12" t="inlineStr">
        <is>
          <t>台北市信義區松仁路100號20樓</t>
        </is>
      </c>
      <c r="H22" s="12" t="inlineStr"/>
      <c r="I22" s="10" t="inlineStr">
        <is>
          <t>113/06/19</t>
        </is>
      </c>
      <c r="J22" s="11" t="inlineStr">
        <is>
          <t>全聯會一字第1130000285號</t>
        </is>
      </c>
      <c r="K22" s="10" t="inlineStr">
        <is>
          <t>北市</t>
        </is>
      </c>
      <c r="L22" s="10" t="inlineStr">
        <is>
          <t>113/06/19</t>
        </is>
      </c>
      <c r="M22" s="10" t="inlineStr">
        <is>
          <t>4642</t>
        </is>
      </c>
      <c r="N22" s="10" t="inlineStr">
        <is>
          <t>2026-06-05</t>
        </is>
      </c>
      <c r="O22" s="11" t="inlineStr">
        <is>
          <t>https://www.roccpa.org.tw/member_search/more?id=9B7805BC-76BC-4F99-8A1A-5368B4B223B2</t>
        </is>
      </c>
    </row>
    <row r="23">
      <c r="A23" s="10" t="n">
        <v>22</v>
      </c>
      <c r="B23" s="11" t="inlineStr">
        <is>
          <t>勤業眾信聯合會計師事務所</t>
        </is>
      </c>
      <c r="C23" s="11" t="inlineStr">
        <is>
          <t>Deloitte 勤業眾信</t>
        </is>
      </c>
      <c r="D23" s="11" t="inlineStr">
        <is>
          <t>尤志峰</t>
        </is>
      </c>
      <c r="E23" s="10" t="inlineStr">
        <is>
          <t>台北總所</t>
        </is>
      </c>
      <c r="F23" s="12" t="inlineStr">
        <is>
          <t>台北市信義區松仁路100號20樓</t>
        </is>
      </c>
      <c r="G23" s="12" t="inlineStr">
        <is>
          <t>台北市信義區松仁路100號20樓</t>
        </is>
      </c>
      <c r="H23" s="12" t="inlineStr"/>
      <c r="I23" s="10" t="inlineStr">
        <is>
          <t>114/06/18</t>
        </is>
      </c>
      <c r="J23" s="11" t="inlineStr">
        <is>
          <t>全聯會一字第1140000240號</t>
        </is>
      </c>
      <c r="K23" s="10" t="inlineStr">
        <is>
          <t>北市</t>
        </is>
      </c>
      <c r="L23" s="10" t="inlineStr">
        <is>
          <t>114/06/18</t>
        </is>
      </c>
      <c r="M23" s="10" t="inlineStr">
        <is>
          <t>4724</t>
        </is>
      </c>
      <c r="N23" s="10" t="inlineStr">
        <is>
          <t>2026-06-05</t>
        </is>
      </c>
      <c r="O23" s="11" t="inlineStr">
        <is>
          <t>https://www.roccpa.org.tw/member_search/more?id=92D0AF05-9E8B-4FF9-9AD9-64F0108ABC8A</t>
        </is>
      </c>
    </row>
    <row r="24">
      <c r="A24" s="10" t="n">
        <v>23</v>
      </c>
      <c r="B24" s="11" t="inlineStr">
        <is>
          <t>勤業眾信聯合會計師事務所</t>
        </is>
      </c>
      <c r="C24" s="11" t="inlineStr">
        <is>
          <t>Deloitte 勤業眾信</t>
        </is>
      </c>
      <c r="D24" s="11" t="inlineStr">
        <is>
          <t>尤盟貴</t>
        </is>
      </c>
      <c r="E24" s="10" t="inlineStr">
        <is>
          <t>台北總所</t>
        </is>
      </c>
      <c r="F24" s="12" t="inlineStr">
        <is>
          <t>台北市信義區松仁路100號20樓</t>
        </is>
      </c>
      <c r="G24" s="12" t="inlineStr">
        <is>
          <t>台北市信義區松仁路100號20樓</t>
        </is>
      </c>
      <c r="H24" s="12" t="inlineStr"/>
      <c r="I24" s="10" t="inlineStr">
        <is>
          <t>113/09/02</t>
        </is>
      </c>
      <c r="J24" s="11" t="inlineStr">
        <is>
          <t>全聯會一字第1130000400號</t>
        </is>
      </c>
      <c r="K24" s="10" t="inlineStr">
        <is>
          <t>北市</t>
        </is>
      </c>
      <c r="L24" s="10" t="inlineStr">
        <is>
          <t>113/09/02</t>
        </is>
      </c>
      <c r="M24" s="10" t="inlineStr">
        <is>
          <t>4661</t>
        </is>
      </c>
      <c r="N24" s="10" t="inlineStr">
        <is>
          <t>2026-06-05</t>
        </is>
      </c>
      <c r="O24" s="11" t="inlineStr">
        <is>
          <t>https://www.roccpa.org.tw/member_search/more?id=D7283C06-29A6-4DE9-BD2A-C2654DC37AD2</t>
        </is>
      </c>
    </row>
    <row r="25">
      <c r="A25" s="10" t="n">
        <v>24</v>
      </c>
      <c r="B25" s="11" t="inlineStr">
        <is>
          <t>勤業眾信聯合會計師事務所</t>
        </is>
      </c>
      <c r="C25" s="11" t="inlineStr">
        <is>
          <t>Deloitte 勤業眾信</t>
        </is>
      </c>
      <c r="D25" s="11" t="inlineStr">
        <is>
          <t>康育榮</t>
        </is>
      </c>
      <c r="E25" s="10" t="inlineStr">
        <is>
          <t>台北總所</t>
        </is>
      </c>
      <c r="F25" s="12" t="inlineStr">
        <is>
          <t>台北市信義區松仁路100號20樓</t>
        </is>
      </c>
      <c r="G25" s="12" t="inlineStr">
        <is>
          <t>台北市信義區松仁路100號20樓</t>
        </is>
      </c>
      <c r="H25" s="12" t="inlineStr"/>
      <c r="I25" s="10" t="inlineStr">
        <is>
          <t>115/06/15</t>
        </is>
      </c>
      <c r="J25" s="11" t="inlineStr">
        <is>
          <t>全聯會一字第1150000290號</t>
        </is>
      </c>
      <c r="K25" s="10" t="inlineStr">
        <is>
          <t>北市</t>
        </is>
      </c>
      <c r="L25" s="10" t="inlineStr">
        <is>
          <t>115/06/15</t>
        </is>
      </c>
      <c r="M25" s="10" t="inlineStr">
        <is>
          <t>4897</t>
        </is>
      </c>
      <c r="N25" s="10" t="inlineStr">
        <is>
          <t>2026-06-23</t>
        </is>
      </c>
      <c r="O25" s="11" t="inlineStr">
        <is>
          <t>https://www.roccpa.org.tw/member_search/more?id=ee3432266cbd4647b4c8ae07e532fd4c</t>
        </is>
      </c>
    </row>
    <row r="26">
      <c r="A26" s="10" t="n">
        <v>25</v>
      </c>
      <c r="B26" s="11" t="inlineStr">
        <is>
          <t>勤業眾信聯合會計師事務所</t>
        </is>
      </c>
      <c r="C26" s="11" t="inlineStr">
        <is>
          <t>Deloitte 勤業眾信</t>
        </is>
      </c>
      <c r="D26" s="11" t="inlineStr">
        <is>
          <t>廖哲莉</t>
        </is>
      </c>
      <c r="E26" s="10" t="inlineStr">
        <is>
          <t>台北總所</t>
        </is>
      </c>
      <c r="F26" s="12" t="inlineStr">
        <is>
          <t>台北市信義區松仁路100號20樓</t>
        </is>
      </c>
      <c r="G26" s="12" t="inlineStr">
        <is>
          <t>台北市信義區松仁路100號20樓</t>
        </is>
      </c>
      <c r="H26" s="12" t="inlineStr"/>
      <c r="I26" s="10" t="inlineStr"/>
      <c r="J26" s="11" t="inlineStr"/>
      <c r="K26" s="10" t="inlineStr">
        <is>
          <t>北市</t>
        </is>
      </c>
      <c r="L26" s="10" t="inlineStr">
        <is>
          <t>089/11/13</t>
        </is>
      </c>
      <c r="M26" s="10" t="inlineStr">
        <is>
          <t>2298</t>
        </is>
      </c>
      <c r="N26" s="10" t="inlineStr">
        <is>
          <t>2026-06-05</t>
        </is>
      </c>
      <c r="O26" s="11" t="inlineStr">
        <is>
          <t>https://www.roccpa.org.tw/member_search/more?id=68424988-47BA-499B-8D89-682EE399427A</t>
        </is>
      </c>
    </row>
    <row r="27">
      <c r="A27" s="10" t="n">
        <v>26</v>
      </c>
      <c r="B27" s="11" t="inlineStr">
        <is>
          <t>勤業眾信聯合會計師事務所</t>
        </is>
      </c>
      <c r="C27" s="11" t="inlineStr">
        <is>
          <t>Deloitte 勤業眾信</t>
        </is>
      </c>
      <c r="D27" s="11" t="inlineStr">
        <is>
          <t>廖婉怡</t>
        </is>
      </c>
      <c r="E27" s="10" t="inlineStr">
        <is>
          <t>台北總所</t>
        </is>
      </c>
      <c r="F27" s="12" t="inlineStr">
        <is>
          <t>台北市信義區松仁路100號20樓</t>
        </is>
      </c>
      <c r="G27" s="12" t="inlineStr">
        <is>
          <t>台北市信義區松仁路100號20樓</t>
        </is>
      </c>
      <c r="H27" s="12" t="inlineStr"/>
      <c r="I27" s="10" t="inlineStr">
        <is>
          <t>101/06/04</t>
        </is>
      </c>
      <c r="J27" s="11" t="inlineStr">
        <is>
          <t>全聯會一字第1010177</t>
        </is>
      </c>
      <c r="K27" s="10" t="inlineStr">
        <is>
          <t>北市</t>
        </is>
      </c>
      <c r="L27" s="10" t="inlineStr">
        <is>
          <t>101/06/14</t>
        </is>
      </c>
      <c r="M27" s="10" t="inlineStr">
        <is>
          <t>3469</t>
        </is>
      </c>
      <c r="N27" s="10" t="inlineStr">
        <is>
          <t>2026-06-05</t>
        </is>
      </c>
      <c r="O27" s="11" t="inlineStr">
        <is>
          <t>https://www.roccpa.org.tw/member_search/more?id=248714FA-65F7-4D17-8EBB-9051D13446E7</t>
        </is>
      </c>
    </row>
    <row r="28">
      <c r="A28" s="10" t="n">
        <v>27</v>
      </c>
      <c r="B28" s="11" t="inlineStr">
        <is>
          <t>勤業眾信聯合會計師事務所</t>
        </is>
      </c>
      <c r="C28" s="11" t="inlineStr">
        <is>
          <t>Deloitte 勤業眾信</t>
        </is>
      </c>
      <c r="D28" s="11" t="inlineStr">
        <is>
          <t>廖家琪</t>
        </is>
      </c>
      <c r="E28" s="10" t="inlineStr">
        <is>
          <t>台北總所</t>
        </is>
      </c>
      <c r="F28" s="12" t="inlineStr">
        <is>
          <t>台北市信義區松仁路100號20樓</t>
        </is>
      </c>
      <c r="G28" s="12" t="inlineStr">
        <is>
          <t>台北市信義區松仁路100號20樓</t>
        </is>
      </c>
      <c r="H28" s="12" t="inlineStr"/>
      <c r="I28" s="10" t="inlineStr">
        <is>
          <t>109/06/10</t>
        </is>
      </c>
      <c r="J28" s="11" t="inlineStr">
        <is>
          <t>全聯會一字第1090221</t>
        </is>
      </c>
      <c r="K28" s="10" t="inlineStr">
        <is>
          <t>北市</t>
        </is>
      </c>
      <c r="L28" s="10" t="inlineStr">
        <is>
          <t>109/06/10</t>
        </is>
      </c>
      <c r="M28" s="10" t="inlineStr">
        <is>
          <t>4260</t>
        </is>
      </c>
      <c r="N28" s="10" t="inlineStr">
        <is>
          <t>2026-06-05</t>
        </is>
      </c>
      <c r="O28" s="11" t="inlineStr">
        <is>
          <t>https://www.roccpa.org.tw/member_search/more?id=0C2E6CB4-6908-48A4-B8AF-62FF19427403</t>
        </is>
      </c>
    </row>
    <row r="29">
      <c r="A29" s="10" t="n">
        <v>28</v>
      </c>
      <c r="B29" s="11" t="inlineStr">
        <is>
          <t>勤業眾信聯合會計師事務所</t>
        </is>
      </c>
      <c r="C29" s="11" t="inlineStr">
        <is>
          <t>Deloitte 勤業眾信</t>
        </is>
      </c>
      <c r="D29" s="11" t="inlineStr">
        <is>
          <t>張哲彥</t>
        </is>
      </c>
      <c r="E29" s="10" t="inlineStr">
        <is>
          <t>台北總所</t>
        </is>
      </c>
      <c r="F29" s="12" t="inlineStr">
        <is>
          <t>台北市信義區松仁路100號20樓</t>
        </is>
      </c>
      <c r="G29" s="12" t="inlineStr">
        <is>
          <t>台北市信義區松仁路100號20樓</t>
        </is>
      </c>
      <c r="H29" s="12" t="inlineStr"/>
      <c r="I29" s="10" t="inlineStr">
        <is>
          <t>115/06/15</t>
        </is>
      </c>
      <c r="J29" s="11" t="inlineStr">
        <is>
          <t>全聯會一字第1150000293號</t>
        </is>
      </c>
      <c r="K29" s="10" t="inlineStr">
        <is>
          <t>北市</t>
        </is>
      </c>
      <c r="L29" s="10" t="inlineStr">
        <is>
          <t>115/06/15</t>
        </is>
      </c>
      <c r="M29" s="10" t="inlineStr">
        <is>
          <t>4900</t>
        </is>
      </c>
      <c r="N29" s="10" t="inlineStr">
        <is>
          <t>2026-06-23</t>
        </is>
      </c>
      <c r="O29" s="11" t="inlineStr">
        <is>
          <t>https://www.roccpa.org.tw/member_search/more?id=244567f33ca0441188fcb0095e10c1b5</t>
        </is>
      </c>
    </row>
    <row r="30">
      <c r="A30" s="10" t="n">
        <v>29</v>
      </c>
      <c r="B30" s="11" t="inlineStr">
        <is>
          <t>勤業眾信聯合會計師事務所</t>
        </is>
      </c>
      <c r="C30" s="11" t="inlineStr">
        <is>
          <t>Deloitte 勤業眾信</t>
        </is>
      </c>
      <c r="D30" s="11" t="inlineStr">
        <is>
          <t>張嘉銘</t>
        </is>
      </c>
      <c r="E30" s="10" t="inlineStr">
        <is>
          <t>台北總所</t>
        </is>
      </c>
      <c r="F30" s="12" t="inlineStr">
        <is>
          <t>台北市信義區松仁路100號20樓</t>
        </is>
      </c>
      <c r="G30" s="12" t="inlineStr">
        <is>
          <t>台北市信義區松仁路100號20樓</t>
        </is>
      </c>
      <c r="H30" s="12" t="inlineStr"/>
      <c r="I30" s="10" t="inlineStr">
        <is>
          <t>114/06/18</t>
        </is>
      </c>
      <c r="J30" s="11" t="inlineStr">
        <is>
          <t>全聯會一字第1140000241號</t>
        </is>
      </c>
      <c r="K30" s="10" t="inlineStr">
        <is>
          <t>北市</t>
        </is>
      </c>
      <c r="L30" s="10" t="inlineStr">
        <is>
          <t>114/06/18</t>
        </is>
      </c>
      <c r="M30" s="10" t="inlineStr">
        <is>
          <t>4725</t>
        </is>
      </c>
      <c r="N30" s="10" t="inlineStr">
        <is>
          <t>2026-06-05</t>
        </is>
      </c>
      <c r="O30" s="11" t="inlineStr">
        <is>
          <t>https://www.roccpa.org.tw/member_search/more?id=B66CD394-A7E3-44D9-AEEF-5397956F2629</t>
        </is>
      </c>
    </row>
    <row r="31">
      <c r="A31" s="10" t="n">
        <v>30</v>
      </c>
      <c r="B31" s="11" t="inlineStr">
        <is>
          <t>勤業眾信聯合會計師事務所</t>
        </is>
      </c>
      <c r="C31" s="11" t="inlineStr">
        <is>
          <t>Deloitte 勤業眾信</t>
        </is>
      </c>
      <c r="D31" s="11" t="inlineStr">
        <is>
          <t>張宗銘</t>
        </is>
      </c>
      <c r="E31" s="10" t="inlineStr">
        <is>
          <t>台北總所</t>
        </is>
      </c>
      <c r="F31" s="12" t="inlineStr">
        <is>
          <t>台北市信義區松仁路100號20樓</t>
        </is>
      </c>
      <c r="G31" s="12" t="inlineStr">
        <is>
          <t>台北市信義區松仁路100號20樓</t>
        </is>
      </c>
      <c r="H31" s="12" t="inlineStr"/>
      <c r="I31" s="10" t="inlineStr">
        <is>
          <t>099/05/25</t>
        </is>
      </c>
      <c r="J31" s="11" t="inlineStr">
        <is>
          <t>全聯會一字第09900258</t>
        </is>
      </c>
      <c r="K31" s="10" t="inlineStr">
        <is>
          <t>北市</t>
        </is>
      </c>
      <c r="L31" s="10" t="inlineStr">
        <is>
          <t>099/06/04</t>
        </is>
      </c>
      <c r="M31" s="10" t="inlineStr">
        <is>
          <t>3231</t>
        </is>
      </c>
      <c r="N31" s="10" t="inlineStr">
        <is>
          <t>2026-06-05</t>
        </is>
      </c>
      <c r="O31" s="11" t="inlineStr">
        <is>
          <t>https://www.roccpa.org.tw/member_search/more?id=CAA6F87C-AD39-469D-9486-D6863E4F543E</t>
        </is>
      </c>
    </row>
    <row r="32">
      <c r="A32" s="10" t="n">
        <v>31</v>
      </c>
      <c r="B32" s="11" t="inlineStr">
        <is>
          <t>勤業眾信聯合會計師事務所</t>
        </is>
      </c>
      <c r="C32" s="11" t="inlineStr">
        <is>
          <t>Deloitte 勤業眾信</t>
        </is>
      </c>
      <c r="D32" s="11" t="inlineStr">
        <is>
          <t>張正修</t>
        </is>
      </c>
      <c r="E32" s="10" t="inlineStr">
        <is>
          <t>台北總所</t>
        </is>
      </c>
      <c r="F32" s="12" t="inlineStr">
        <is>
          <t>台北市信義區松仁路100號20樓</t>
        </is>
      </c>
      <c r="G32" s="12" t="inlineStr">
        <is>
          <t>台北市信義區松仁路100號20樓</t>
        </is>
      </c>
      <c r="H32" s="12" t="inlineStr"/>
      <c r="I32" s="10" t="inlineStr">
        <is>
          <t>112/06/08</t>
        </is>
      </c>
      <c r="J32" s="11" t="inlineStr">
        <is>
          <t>全聯會一字第1120220</t>
        </is>
      </c>
      <c r="K32" s="10" t="inlineStr">
        <is>
          <t>北市</t>
        </is>
      </c>
      <c r="L32" s="10" t="inlineStr">
        <is>
          <t>112/06/08</t>
        </is>
      </c>
      <c r="M32" s="10" t="inlineStr">
        <is>
          <t>4526</t>
        </is>
      </c>
      <c r="N32" s="10" t="inlineStr">
        <is>
          <t>2026-06-05</t>
        </is>
      </c>
      <c r="O32" s="11" t="inlineStr">
        <is>
          <t>https://www.roccpa.org.tw/member_search/more?id=99645D90-9683-487D-84D5-B799C9A274E2</t>
        </is>
      </c>
    </row>
    <row r="33">
      <c r="A33" s="10" t="n">
        <v>32</v>
      </c>
      <c r="B33" s="11" t="inlineStr">
        <is>
          <t>勤業眾信聯合會計師事務所</t>
        </is>
      </c>
      <c r="C33" s="11" t="inlineStr">
        <is>
          <t>Deloitte 勤業眾信</t>
        </is>
      </c>
      <c r="D33" s="11" t="inlineStr">
        <is>
          <t>張淳儀</t>
        </is>
      </c>
      <c r="E33" s="10" t="inlineStr">
        <is>
          <t>台北總所</t>
        </is>
      </c>
      <c r="F33" s="12" t="inlineStr">
        <is>
          <t>台北市信義區松仁路100號20樓</t>
        </is>
      </c>
      <c r="G33" s="12" t="inlineStr">
        <is>
          <t>台北市信義區松仁路100號20樓</t>
        </is>
      </c>
      <c r="H33" s="12" t="inlineStr"/>
      <c r="I33" s="10" t="inlineStr"/>
      <c r="J33" s="11" t="inlineStr"/>
      <c r="K33" s="10" t="inlineStr">
        <is>
          <t>北市</t>
        </is>
      </c>
      <c r="L33" s="10" t="inlineStr">
        <is>
          <t>088/01/29</t>
        </is>
      </c>
      <c r="M33" s="10" t="inlineStr">
        <is>
          <t>2129</t>
        </is>
      </c>
      <c r="N33" s="10" t="inlineStr">
        <is>
          <t>2026-06-05</t>
        </is>
      </c>
      <c r="O33" s="11" t="inlineStr">
        <is>
          <t>https://www.roccpa.org.tw/member_search/more?id=633F0845-4E38-4090-AC51-B1EFB13AA945</t>
        </is>
      </c>
    </row>
    <row r="34">
      <c r="A34" s="10" t="n">
        <v>33</v>
      </c>
      <c r="B34" s="11" t="inlineStr">
        <is>
          <t>勤業眾信聯合會計師事務所</t>
        </is>
      </c>
      <c r="C34" s="11" t="inlineStr">
        <is>
          <t>Deloitte 勤業眾信</t>
        </is>
      </c>
      <c r="D34" s="11" t="inlineStr">
        <is>
          <t>張瑞峰</t>
        </is>
      </c>
      <c r="E34" s="10" t="inlineStr">
        <is>
          <t>台北總所</t>
        </is>
      </c>
      <c r="F34" s="12" t="inlineStr">
        <is>
          <t>台北市信義區松仁路100號20樓</t>
        </is>
      </c>
      <c r="G34" s="12" t="inlineStr">
        <is>
          <t>台北市信義區松仁路100號20樓</t>
        </is>
      </c>
      <c r="H34" s="12" t="inlineStr"/>
      <c r="I34" s="10" t="inlineStr">
        <is>
          <t>109/06/10</t>
        </is>
      </c>
      <c r="J34" s="11" t="inlineStr">
        <is>
          <t>全聯會一字第1090214</t>
        </is>
      </c>
      <c r="K34" s="10" t="inlineStr">
        <is>
          <t>北市</t>
        </is>
      </c>
      <c r="L34" s="10" t="inlineStr">
        <is>
          <t>109/06/10</t>
        </is>
      </c>
      <c r="M34" s="10" t="inlineStr">
        <is>
          <t>4253</t>
        </is>
      </c>
      <c r="N34" s="10" t="inlineStr">
        <is>
          <t>2026-06-05</t>
        </is>
      </c>
      <c r="O34" s="11" t="inlineStr">
        <is>
          <t>https://www.roccpa.org.tw/member_search/more?id=F0292D2E-E20E-431F-BA8A-5077AD9E089B</t>
        </is>
      </c>
    </row>
    <row r="35">
      <c r="A35" s="10" t="n">
        <v>34</v>
      </c>
      <c r="B35" s="11" t="inlineStr">
        <is>
          <t>勤業眾信聯合會計師事務所</t>
        </is>
      </c>
      <c r="C35" s="11" t="inlineStr">
        <is>
          <t>Deloitte 勤業眾信</t>
        </is>
      </c>
      <c r="D35" s="11" t="inlineStr">
        <is>
          <t>張美卿</t>
        </is>
      </c>
      <c r="E35" s="10" t="inlineStr">
        <is>
          <t>台北總所</t>
        </is>
      </c>
      <c r="F35" s="12" t="inlineStr">
        <is>
          <t>台北市信義區松仁路100號20樓</t>
        </is>
      </c>
      <c r="G35" s="12" t="inlineStr">
        <is>
          <t>台北市信義區松仁路100號20樓</t>
        </is>
      </c>
      <c r="H35" s="12" t="inlineStr"/>
      <c r="I35" s="10" t="inlineStr">
        <is>
          <t>115/06/15</t>
        </is>
      </c>
      <c r="J35" s="11" t="inlineStr">
        <is>
          <t>全聯會一字第1150000287號</t>
        </is>
      </c>
      <c r="K35" s="10" t="inlineStr">
        <is>
          <t>北市</t>
        </is>
      </c>
      <c r="L35" s="10" t="inlineStr">
        <is>
          <t>115/06/15</t>
        </is>
      </c>
      <c r="M35" s="10" t="inlineStr">
        <is>
          <t>4894</t>
        </is>
      </c>
      <c r="N35" s="10" t="inlineStr">
        <is>
          <t>2026-06-23</t>
        </is>
      </c>
      <c r="O35" s="11" t="inlineStr">
        <is>
          <t>https://www.roccpa.org.tw/member_search/more?id=a778492fdcbf4b7596fd9113b85e0c46</t>
        </is>
      </c>
    </row>
    <row r="36">
      <c r="A36" s="10" t="n">
        <v>35</v>
      </c>
      <c r="B36" s="11" t="inlineStr">
        <is>
          <t>勤業眾信聯合會計師事務所</t>
        </is>
      </c>
      <c r="C36" s="11" t="inlineStr">
        <is>
          <t>Deloitte 勤業眾信</t>
        </is>
      </c>
      <c r="D36" s="11" t="inlineStr">
        <is>
          <t>張耿禧</t>
        </is>
      </c>
      <c r="E36" s="10" t="inlineStr">
        <is>
          <t>台北總所</t>
        </is>
      </c>
      <c r="F36" s="12" t="inlineStr">
        <is>
          <t>台北市信義區松仁路100號20樓</t>
        </is>
      </c>
      <c r="G36" s="12" t="inlineStr">
        <is>
          <t>台北市信義區松仁路100號20樓</t>
        </is>
      </c>
      <c r="H36" s="12" t="inlineStr"/>
      <c r="I36" s="10" t="inlineStr"/>
      <c r="J36" s="11" t="inlineStr"/>
      <c r="K36" s="10" t="inlineStr">
        <is>
          <t>北市</t>
        </is>
      </c>
      <c r="L36" s="10" t="inlineStr">
        <is>
          <t>090/01/10</t>
        </is>
      </c>
      <c r="M36" s="10" t="inlineStr">
        <is>
          <t>2333</t>
        </is>
      </c>
      <c r="N36" s="10" t="inlineStr">
        <is>
          <t>2026-06-05</t>
        </is>
      </c>
      <c r="O36" s="11" t="inlineStr">
        <is>
          <t>https://www.roccpa.org.tw/member_search/more?id=CFDB2A00-A1C4-432F-8693-4343FC0E35F0</t>
        </is>
      </c>
    </row>
    <row r="37">
      <c r="A37" s="10" t="n">
        <v>36</v>
      </c>
      <c r="B37" s="11" t="inlineStr">
        <is>
          <t>勤業眾信聯合會計師事務所</t>
        </is>
      </c>
      <c r="C37" s="11" t="inlineStr">
        <is>
          <t>Deloitte 勤業眾信</t>
        </is>
      </c>
      <c r="D37" s="11" t="inlineStr">
        <is>
          <t>張至誼</t>
        </is>
      </c>
      <c r="E37" s="10" t="inlineStr">
        <is>
          <t>台北總所</t>
        </is>
      </c>
      <c r="F37" s="12" t="inlineStr">
        <is>
          <t>台北市信義區松仁路100號20樓</t>
        </is>
      </c>
      <c r="G37" s="12" t="inlineStr">
        <is>
          <t>台北市信義區松仁路100號20樓</t>
        </is>
      </c>
      <c r="H37" s="12" t="inlineStr"/>
      <c r="I37" s="10" t="inlineStr">
        <is>
          <t>109/03/02</t>
        </is>
      </c>
      <c r="J37" s="11" t="inlineStr">
        <is>
          <t>全聯會一字第1090088</t>
        </is>
      </c>
      <c r="K37" s="10" t="inlineStr">
        <is>
          <t>北市</t>
        </is>
      </c>
      <c r="L37" s="10" t="inlineStr">
        <is>
          <t>109/03/02</t>
        </is>
      </c>
      <c r="M37" s="10" t="inlineStr">
        <is>
          <t>4227</t>
        </is>
      </c>
      <c r="N37" s="10" t="inlineStr">
        <is>
          <t>2026-06-05</t>
        </is>
      </c>
      <c r="O37" s="11" t="inlineStr">
        <is>
          <t>https://www.roccpa.org.tw/member_search/more?id=2E125208-F858-4843-8CAD-199D8C7C8927</t>
        </is>
      </c>
    </row>
    <row r="38">
      <c r="A38" s="10" t="n">
        <v>37</v>
      </c>
      <c r="B38" s="11" t="inlineStr">
        <is>
          <t>勤業眾信聯合會計師事務所</t>
        </is>
      </c>
      <c r="C38" s="11" t="inlineStr">
        <is>
          <t>Deloitte 勤業眾信</t>
        </is>
      </c>
      <c r="D38" s="11" t="inlineStr">
        <is>
          <t>張雅涵</t>
        </is>
      </c>
      <c r="E38" s="10" t="inlineStr">
        <is>
          <t>台北總所</t>
        </is>
      </c>
      <c r="F38" s="12" t="inlineStr">
        <is>
          <t>台北市信義區松仁路100號20樓</t>
        </is>
      </c>
      <c r="G38" s="12" t="inlineStr">
        <is>
          <t>台北市信義區松仁路100號20樓</t>
        </is>
      </c>
      <c r="H38" s="12" t="inlineStr"/>
      <c r="I38" s="10" t="inlineStr">
        <is>
          <t>115/06/15</t>
        </is>
      </c>
      <c r="J38" s="11" t="inlineStr">
        <is>
          <t>全聯會一字第1150000286號</t>
        </is>
      </c>
      <c r="K38" s="10" t="inlineStr">
        <is>
          <t>北市</t>
        </is>
      </c>
      <c r="L38" s="10" t="inlineStr">
        <is>
          <t>115/06/15</t>
        </is>
      </c>
      <c r="M38" s="10" t="inlineStr">
        <is>
          <t>4893</t>
        </is>
      </c>
      <c r="N38" s="10" t="inlineStr">
        <is>
          <t>2026-06-23</t>
        </is>
      </c>
      <c r="O38" s="11" t="inlineStr">
        <is>
          <t>https://www.roccpa.org.tw/member_search/more?id=5c684f9c694145659b6a6faa211ca641</t>
        </is>
      </c>
    </row>
    <row r="39">
      <c r="A39" s="10" t="n">
        <v>38</v>
      </c>
      <c r="B39" s="11" t="inlineStr">
        <is>
          <t>勤業眾信聯合會計師事務所</t>
        </is>
      </c>
      <c r="C39" s="11" t="inlineStr">
        <is>
          <t>Deloitte 勤業眾信</t>
        </is>
      </c>
      <c r="D39" s="11" t="inlineStr">
        <is>
          <t>張青霞</t>
        </is>
      </c>
      <c r="E39" s="10" t="inlineStr">
        <is>
          <t>台北總所</t>
        </is>
      </c>
      <c r="F39" s="12" t="inlineStr">
        <is>
          <t>台北市信義區松仁路100號20樓</t>
        </is>
      </c>
      <c r="G39" s="12" t="inlineStr">
        <is>
          <t>台北市信義區松仁路100號20樓</t>
        </is>
      </c>
      <c r="H39" s="12" t="inlineStr"/>
      <c r="I39" s="10" t="inlineStr">
        <is>
          <t>109/06/10</t>
        </is>
      </c>
      <c r="J39" s="11" t="inlineStr">
        <is>
          <t>全聯會一字第1090212</t>
        </is>
      </c>
      <c r="K39" s="10" t="inlineStr">
        <is>
          <t>北市</t>
        </is>
      </c>
      <c r="L39" s="10" t="inlineStr">
        <is>
          <t>109/06/10</t>
        </is>
      </c>
      <c r="M39" s="10" t="inlineStr">
        <is>
          <t>4251</t>
        </is>
      </c>
      <c r="N39" s="10" t="inlineStr">
        <is>
          <t>2026-06-05</t>
        </is>
      </c>
      <c r="O39" s="11" t="inlineStr">
        <is>
          <t>https://www.roccpa.org.tw/member_search/more?id=36536DF6-1647-428C-A2C4-830E777C6DFE</t>
        </is>
      </c>
    </row>
    <row r="40">
      <c r="A40" s="10" t="n">
        <v>39</v>
      </c>
      <c r="B40" s="11" t="inlineStr">
        <is>
          <t>勤業眾信聯合會計師事務所</t>
        </is>
      </c>
      <c r="C40" s="11" t="inlineStr">
        <is>
          <t>Deloitte 勤業眾信</t>
        </is>
      </c>
      <c r="D40" s="11" t="inlineStr">
        <is>
          <t>張麗君</t>
        </is>
      </c>
      <c r="E40" s="10" t="inlineStr">
        <is>
          <t>台北總所</t>
        </is>
      </c>
      <c r="F40" s="12" t="inlineStr">
        <is>
          <t>台北市信義區松仁路100號20樓</t>
        </is>
      </c>
      <c r="G40" s="12" t="inlineStr">
        <is>
          <t>台北市信義區松仁路100號20樓</t>
        </is>
      </c>
      <c r="H40" s="12" t="inlineStr"/>
      <c r="I40" s="10" t="inlineStr">
        <is>
          <t>110/06/09</t>
        </is>
      </c>
      <c r="J40" s="11" t="inlineStr">
        <is>
          <t>全聯會一字第1100232</t>
        </is>
      </c>
      <c r="K40" s="10" t="inlineStr">
        <is>
          <t>北市</t>
        </is>
      </c>
      <c r="L40" s="10" t="inlineStr">
        <is>
          <t>110/06/09</t>
        </is>
      </c>
      <c r="M40" s="10" t="inlineStr">
        <is>
          <t>4337</t>
        </is>
      </c>
      <c r="N40" s="10" t="inlineStr">
        <is>
          <t>2026-06-05</t>
        </is>
      </c>
      <c r="O40" s="11" t="inlineStr">
        <is>
          <t>https://www.roccpa.org.tw/member_search/more?id=1B0BB095-AB84-4022-B1AE-26C30A0FF6F7</t>
        </is>
      </c>
    </row>
    <row r="41">
      <c r="A41" s="10" t="n">
        <v>40</v>
      </c>
      <c r="B41" s="11" t="inlineStr">
        <is>
          <t>勤業眾信聯合會計師事務所</t>
        </is>
      </c>
      <c r="C41" s="11" t="inlineStr">
        <is>
          <t>Deloitte 勤業眾信</t>
        </is>
      </c>
      <c r="D41" s="11" t="inlineStr">
        <is>
          <t>彭以驊</t>
        </is>
      </c>
      <c r="E41" s="10" t="inlineStr">
        <is>
          <t>台北總所</t>
        </is>
      </c>
      <c r="F41" s="12" t="inlineStr">
        <is>
          <t>台北市信義區松仁路100號20樓</t>
        </is>
      </c>
      <c r="G41" s="12" t="inlineStr">
        <is>
          <t>台北市信義區松仁路100號20樓</t>
        </is>
      </c>
      <c r="H41" s="12" t="inlineStr"/>
      <c r="I41" s="10" t="inlineStr">
        <is>
          <t>113/06/19</t>
        </is>
      </c>
      <c r="J41" s="11" t="inlineStr">
        <is>
          <t>全聯會一字第1130000276號</t>
        </is>
      </c>
      <c r="K41" s="10" t="inlineStr">
        <is>
          <t>北市</t>
        </is>
      </c>
      <c r="L41" s="10" t="inlineStr">
        <is>
          <t>113/06/19</t>
        </is>
      </c>
      <c r="M41" s="10" t="inlineStr">
        <is>
          <t>4633</t>
        </is>
      </c>
      <c r="N41" s="10" t="inlineStr">
        <is>
          <t>2026-06-05</t>
        </is>
      </c>
      <c r="O41" s="11" t="inlineStr">
        <is>
          <t>https://www.roccpa.org.tw/member_search/more?id=FFAA6A97-A8F9-422D-A3DE-BBBE5474CC96</t>
        </is>
      </c>
    </row>
    <row r="42">
      <c r="A42" s="10" t="n">
        <v>41</v>
      </c>
      <c r="B42" s="11" t="inlineStr">
        <is>
          <t>勤業眾信聯合會計師事務所</t>
        </is>
      </c>
      <c r="C42" s="11" t="inlineStr">
        <is>
          <t>Deloitte 勤業眾信</t>
        </is>
      </c>
      <c r="D42" s="11" t="inlineStr">
        <is>
          <t>彭詩玄</t>
        </is>
      </c>
      <c r="E42" s="10" t="inlineStr">
        <is>
          <t>台北總所</t>
        </is>
      </c>
      <c r="F42" s="12" t="inlineStr">
        <is>
          <t>台北市信義區松仁路100號20樓</t>
        </is>
      </c>
      <c r="G42" s="12" t="inlineStr">
        <is>
          <t>台北市信義區松仁路100號20樓</t>
        </is>
      </c>
      <c r="H42" s="12" t="inlineStr"/>
      <c r="I42" s="10" t="inlineStr">
        <is>
          <t>113/06/19</t>
        </is>
      </c>
      <c r="J42" s="11" t="inlineStr">
        <is>
          <t>全聯會一字第1130000277號</t>
        </is>
      </c>
      <c r="K42" s="10" t="inlineStr">
        <is>
          <t>北市</t>
        </is>
      </c>
      <c r="L42" s="10" t="inlineStr">
        <is>
          <t>113/06/19</t>
        </is>
      </c>
      <c r="M42" s="10" t="inlineStr">
        <is>
          <t>4634</t>
        </is>
      </c>
      <c r="N42" s="10" t="inlineStr">
        <is>
          <t>2026-06-05</t>
        </is>
      </c>
      <c r="O42" s="11" t="inlineStr">
        <is>
          <t>https://www.roccpa.org.tw/member_search/more?id=52FEF518-C483-4496-A6D6-9DF0EA6890CF</t>
        </is>
      </c>
    </row>
    <row r="43">
      <c r="A43" s="10" t="n">
        <v>42</v>
      </c>
      <c r="B43" s="11" t="inlineStr">
        <is>
          <t>勤業眾信聯合會計師事務所</t>
        </is>
      </c>
      <c r="C43" s="11" t="inlineStr">
        <is>
          <t>Deloitte 勤業眾信</t>
        </is>
      </c>
      <c r="D43" s="11" t="inlineStr">
        <is>
          <t>徐曉婷</t>
        </is>
      </c>
      <c r="E43" s="10" t="inlineStr">
        <is>
          <t>台北總所</t>
        </is>
      </c>
      <c r="F43" s="12" t="inlineStr">
        <is>
          <t>台北市信義區松仁路100號20樓</t>
        </is>
      </c>
      <c r="G43" s="12" t="inlineStr">
        <is>
          <t>台北市信義區松仁路100號20樓</t>
        </is>
      </c>
      <c r="H43" s="12" t="inlineStr"/>
      <c r="I43" s="10" t="inlineStr">
        <is>
          <t>105/06/01</t>
        </is>
      </c>
      <c r="J43" s="11" t="inlineStr">
        <is>
          <t>全聯會一字第1050256</t>
        </is>
      </c>
      <c r="K43" s="10" t="inlineStr">
        <is>
          <t>北市</t>
        </is>
      </c>
      <c r="L43" s="10" t="inlineStr">
        <is>
          <t>105/06/13</t>
        </is>
      </c>
      <c r="M43" s="10" t="inlineStr">
        <is>
          <t>3941</t>
        </is>
      </c>
      <c r="N43" s="10" t="inlineStr">
        <is>
          <t>2026-06-05</t>
        </is>
      </c>
      <c r="O43" s="11" t="inlineStr">
        <is>
          <t>https://www.roccpa.org.tw/member_search/more?id=E3B79120-1085-455F-8DC3-174F37C816B4</t>
        </is>
      </c>
    </row>
    <row r="44">
      <c r="A44" s="10" t="n">
        <v>43</v>
      </c>
      <c r="B44" s="11" t="inlineStr">
        <is>
          <t>勤業眾信聯合會計師事務所</t>
        </is>
      </c>
      <c r="C44" s="11" t="inlineStr">
        <is>
          <t>Deloitte 勤業眾信</t>
        </is>
      </c>
      <c r="D44" s="11" t="inlineStr">
        <is>
          <t>徐有德</t>
        </is>
      </c>
      <c r="E44" s="10" t="inlineStr">
        <is>
          <t>台北總所</t>
        </is>
      </c>
      <c r="F44" s="12" t="inlineStr">
        <is>
          <t>台北市信義區松仁路100號20樓</t>
        </is>
      </c>
      <c r="G44" s="12" t="inlineStr">
        <is>
          <t>台北市信義區松仁路100號20樓</t>
        </is>
      </c>
      <c r="H44" s="12" t="inlineStr"/>
      <c r="I44" s="10" t="inlineStr">
        <is>
          <t>109/06/10</t>
        </is>
      </c>
      <c r="J44" s="11" t="inlineStr">
        <is>
          <t>全聯會一字第1090215</t>
        </is>
      </c>
      <c r="K44" s="10" t="inlineStr">
        <is>
          <t>北市</t>
        </is>
      </c>
      <c r="L44" s="10" t="inlineStr">
        <is>
          <t>109/06/10</t>
        </is>
      </c>
      <c r="M44" s="10" t="inlineStr">
        <is>
          <t>4254</t>
        </is>
      </c>
      <c r="N44" s="10" t="inlineStr">
        <is>
          <t>2026-06-05</t>
        </is>
      </c>
      <c r="O44" s="11" t="inlineStr">
        <is>
          <t>https://www.roccpa.org.tw/member_search/more?id=D5EBC033-8431-4C5E-89C7-D9DE3B0E8EF0</t>
        </is>
      </c>
    </row>
    <row r="45">
      <c r="A45" s="10" t="n">
        <v>44</v>
      </c>
      <c r="B45" s="11" t="inlineStr">
        <is>
          <t>勤業眾信聯合會計師事務所</t>
        </is>
      </c>
      <c r="C45" s="11" t="inlineStr">
        <is>
          <t>Deloitte 勤業眾信</t>
        </is>
      </c>
      <c r="D45" s="11" t="inlineStr">
        <is>
          <t>徐瑩瑩</t>
        </is>
      </c>
      <c r="E45" s="10" t="inlineStr">
        <is>
          <t>台北總所</t>
        </is>
      </c>
      <c r="F45" s="12" t="inlineStr">
        <is>
          <t>台北市信義區松仁路100號20樓</t>
        </is>
      </c>
      <c r="G45" s="12" t="inlineStr">
        <is>
          <t>台北市信義區松仁路100號20樓</t>
        </is>
      </c>
      <c r="H45" s="12" t="inlineStr"/>
      <c r="I45" s="10" t="inlineStr">
        <is>
          <t>100/05/25</t>
        </is>
      </c>
      <c r="J45" s="11" t="inlineStr">
        <is>
          <t>全聯會一字第1000214</t>
        </is>
      </c>
      <c r="K45" s="10" t="inlineStr">
        <is>
          <t>北市</t>
        </is>
      </c>
      <c r="L45" s="10" t="inlineStr">
        <is>
          <t>100/06/07</t>
        </is>
      </c>
      <c r="M45" s="10" t="inlineStr">
        <is>
          <t>3361</t>
        </is>
      </c>
      <c r="N45" s="10" t="inlineStr">
        <is>
          <t>2026-06-05</t>
        </is>
      </c>
      <c r="O45" s="11" t="inlineStr">
        <is>
          <t>https://www.roccpa.org.tw/member_search/more?id=6D12F464-D853-4E7F-92BA-CD42493CDD1F</t>
        </is>
      </c>
    </row>
    <row r="46">
      <c r="A46" s="10" t="n">
        <v>45</v>
      </c>
      <c r="B46" s="11" t="inlineStr">
        <is>
          <t>勤業眾信聯合會計師事務所</t>
        </is>
      </c>
      <c r="C46" s="11" t="inlineStr">
        <is>
          <t>Deloitte 勤業眾信</t>
        </is>
      </c>
      <c r="D46" s="11" t="inlineStr">
        <is>
          <t>戴信維</t>
        </is>
      </c>
      <c r="E46" s="10" t="inlineStr">
        <is>
          <t>台北總所</t>
        </is>
      </c>
      <c r="F46" s="12" t="inlineStr">
        <is>
          <t>台北市信義區松仁路100號20樓</t>
        </is>
      </c>
      <c r="G46" s="12" t="inlineStr">
        <is>
          <t>台北市信義區松仁路100號20樓</t>
        </is>
      </c>
      <c r="H46" s="12" t="inlineStr"/>
      <c r="I46" s="10" t="inlineStr"/>
      <c r="J46" s="11" t="inlineStr"/>
      <c r="K46" s="10" t="inlineStr">
        <is>
          <t>北市</t>
        </is>
      </c>
      <c r="L46" s="10" t="inlineStr">
        <is>
          <t>093/06/10</t>
        </is>
      </c>
      <c r="M46" s="10" t="inlineStr">
        <is>
          <t>2657</t>
        </is>
      </c>
      <c r="N46" s="10" t="inlineStr">
        <is>
          <t>2026-06-05</t>
        </is>
      </c>
      <c r="O46" s="11" t="inlineStr">
        <is>
          <t>https://www.roccpa.org.tw/member_search/more?id=2AC97838-387B-4247-AE6C-6D00E5F1C3F1</t>
        </is>
      </c>
    </row>
    <row r="47">
      <c r="A47" s="10" t="n">
        <v>46</v>
      </c>
      <c r="B47" s="11" t="inlineStr">
        <is>
          <t>勤業眾信聯合會計師事務所</t>
        </is>
      </c>
      <c r="C47" s="11" t="inlineStr">
        <is>
          <t>Deloitte 勤業眾信</t>
        </is>
      </c>
      <c r="D47" s="11" t="inlineStr">
        <is>
          <t>戴群倫</t>
        </is>
      </c>
      <c r="E47" s="10" t="inlineStr">
        <is>
          <t>台北總所</t>
        </is>
      </c>
      <c r="F47" s="12" t="inlineStr">
        <is>
          <t>台北市信義區松仁路100號20樓</t>
        </is>
      </c>
      <c r="G47" s="12" t="inlineStr">
        <is>
          <t>台北市信義區松仁路100號20樓</t>
        </is>
      </c>
      <c r="H47" s="12" t="inlineStr"/>
      <c r="I47" s="10" t="inlineStr">
        <is>
          <t>110/06/09</t>
        </is>
      </c>
      <c r="J47" s="11" t="inlineStr">
        <is>
          <t>全聯會一字第1100234</t>
        </is>
      </c>
      <c r="K47" s="10" t="inlineStr">
        <is>
          <t>北市</t>
        </is>
      </c>
      <c r="L47" s="10" t="inlineStr">
        <is>
          <t>110/06/09</t>
        </is>
      </c>
      <c r="M47" s="10" t="inlineStr">
        <is>
          <t>4339</t>
        </is>
      </c>
      <c r="N47" s="10" t="inlineStr">
        <is>
          <t>2026-06-05</t>
        </is>
      </c>
      <c r="O47" s="11" t="inlineStr">
        <is>
          <t>https://www.roccpa.org.tw/member_search/more?id=1AABF2DF-74B8-4157-8274-AAE12B32FF4D</t>
        </is>
      </c>
    </row>
    <row r="48">
      <c r="A48" s="10" t="n">
        <v>47</v>
      </c>
      <c r="B48" s="11" t="inlineStr">
        <is>
          <t>勤業眾信聯合會計師事務所</t>
        </is>
      </c>
      <c r="C48" s="11" t="inlineStr">
        <is>
          <t>Deloitte 勤業眾信</t>
        </is>
      </c>
      <c r="D48" s="11" t="inlineStr">
        <is>
          <t>方涵妮</t>
        </is>
      </c>
      <c r="E48" s="10" t="inlineStr">
        <is>
          <t>台北總所</t>
        </is>
      </c>
      <c r="F48" s="12" t="inlineStr">
        <is>
          <t>台北市信義區松仁路100號20樓</t>
        </is>
      </c>
      <c r="G48" s="12" t="inlineStr">
        <is>
          <t>台北市信義區松仁路100號20樓</t>
        </is>
      </c>
      <c r="H48" s="12" t="inlineStr"/>
      <c r="I48" s="10" t="inlineStr">
        <is>
          <t>109/06/10</t>
        </is>
      </c>
      <c r="J48" s="11" t="inlineStr">
        <is>
          <t>全聯會一字第1090213</t>
        </is>
      </c>
      <c r="K48" s="10" t="inlineStr">
        <is>
          <t>北市</t>
        </is>
      </c>
      <c r="L48" s="10" t="inlineStr">
        <is>
          <t>109/06/10</t>
        </is>
      </c>
      <c r="M48" s="10" t="inlineStr">
        <is>
          <t>4252</t>
        </is>
      </c>
      <c r="N48" s="10" t="inlineStr">
        <is>
          <t>2026-06-05</t>
        </is>
      </c>
      <c r="O48" s="11" t="inlineStr">
        <is>
          <t>https://www.roccpa.org.tw/member_search/more?id=F38FD116-076D-4AA7-8B77-CCBB83766EF2</t>
        </is>
      </c>
    </row>
    <row r="49">
      <c r="A49" s="10" t="n">
        <v>48</v>
      </c>
      <c r="B49" s="11" t="inlineStr">
        <is>
          <t>勤業眾信聯合會計師事務所</t>
        </is>
      </c>
      <c r="C49" s="11" t="inlineStr">
        <is>
          <t>Deloitte 勤業眾信</t>
        </is>
      </c>
      <c r="D49" s="11" t="inlineStr">
        <is>
          <t>施俊弘</t>
        </is>
      </c>
      <c r="E49" s="10" t="inlineStr">
        <is>
          <t>台北總所</t>
        </is>
      </c>
      <c r="F49" s="12" t="inlineStr">
        <is>
          <t>台北市信義區松仁路100號20樓</t>
        </is>
      </c>
      <c r="G49" s="12" t="inlineStr">
        <is>
          <t>台北市信義區松仁路100號20樓</t>
        </is>
      </c>
      <c r="H49" s="12" t="inlineStr"/>
      <c r="I49" s="10" t="inlineStr">
        <is>
          <t>111/06/10</t>
        </is>
      </c>
      <c r="J49" s="11" t="inlineStr">
        <is>
          <t>全聯會一字第1110220</t>
        </is>
      </c>
      <c r="K49" s="10" t="inlineStr">
        <is>
          <t>北市</t>
        </is>
      </c>
      <c r="L49" s="10" t="inlineStr">
        <is>
          <t>111/06/10</t>
        </is>
      </c>
      <c r="M49" s="10" t="inlineStr">
        <is>
          <t>4432</t>
        </is>
      </c>
      <c r="N49" s="10" t="inlineStr">
        <is>
          <t>2026-06-05</t>
        </is>
      </c>
      <c r="O49" s="11" t="inlineStr">
        <is>
          <t>https://www.roccpa.org.tw/member_search/more?id=4971E519-EABA-4380-91E8-EE81D10AD5D6</t>
        </is>
      </c>
    </row>
    <row r="50">
      <c r="A50" s="10" t="n">
        <v>49</v>
      </c>
      <c r="B50" s="11" t="inlineStr">
        <is>
          <t>勤業眾信聯合會計師事務所</t>
        </is>
      </c>
      <c r="C50" s="11" t="inlineStr">
        <is>
          <t>Deloitte 勤業眾信</t>
        </is>
      </c>
      <c r="D50" s="11" t="inlineStr">
        <is>
          <t>施錦川</t>
        </is>
      </c>
      <c r="E50" s="10" t="inlineStr">
        <is>
          <t>台北總所</t>
        </is>
      </c>
      <c r="F50" s="12" t="inlineStr">
        <is>
          <t>台北市信義區松仁路100號20樓</t>
        </is>
      </c>
      <c r="G50" s="12" t="inlineStr">
        <is>
          <t>台北市信義區松仁路100號20樓</t>
        </is>
      </c>
      <c r="H50" s="12" t="inlineStr"/>
      <c r="I50" s="10" t="inlineStr"/>
      <c r="J50" s="11" t="inlineStr"/>
      <c r="K50" s="10" t="inlineStr">
        <is>
          <t>北市</t>
        </is>
      </c>
      <c r="L50" s="10" t="inlineStr">
        <is>
          <t>093/06/10</t>
        </is>
      </c>
      <c r="M50" s="10" t="inlineStr">
        <is>
          <t>2646</t>
        </is>
      </c>
      <c r="N50" s="10" t="inlineStr">
        <is>
          <t>2026-06-05</t>
        </is>
      </c>
      <c r="O50" s="11" t="inlineStr">
        <is>
          <t>https://www.roccpa.org.tw/member_search/more?id=3EE54349-E302-4F74-A8B9-9FF9680D001D</t>
        </is>
      </c>
    </row>
    <row r="51">
      <c r="A51" s="10" t="n">
        <v>50</v>
      </c>
      <c r="B51" s="11" t="inlineStr">
        <is>
          <t>勤業眾信聯合會計師事務所</t>
        </is>
      </c>
      <c r="C51" s="11" t="inlineStr">
        <is>
          <t>Deloitte 勤業眾信</t>
        </is>
      </c>
      <c r="D51" s="11" t="inlineStr">
        <is>
          <t>曾建銘</t>
        </is>
      </c>
      <c r="E51" s="10" t="inlineStr">
        <is>
          <t>台北總所</t>
        </is>
      </c>
      <c r="F51" s="12" t="inlineStr">
        <is>
          <t>台北市信義區松仁路100號20樓</t>
        </is>
      </c>
      <c r="G51" s="12" t="inlineStr">
        <is>
          <t>台北市信義區松仁路100號20樓</t>
        </is>
      </c>
      <c r="H51" s="12" t="inlineStr"/>
      <c r="I51" s="10" t="inlineStr">
        <is>
          <t>110/06/09</t>
        </is>
      </c>
      <c r="J51" s="11" t="inlineStr">
        <is>
          <t>全聯會一字第1100223</t>
        </is>
      </c>
      <c r="K51" s="10" t="inlineStr">
        <is>
          <t>北市</t>
        </is>
      </c>
      <c r="L51" s="10" t="inlineStr">
        <is>
          <t>110/06/09</t>
        </is>
      </c>
      <c r="M51" s="10" t="inlineStr">
        <is>
          <t>4328</t>
        </is>
      </c>
      <c r="N51" s="10" t="inlineStr">
        <is>
          <t>2026-06-05</t>
        </is>
      </c>
      <c r="O51" s="11" t="inlineStr">
        <is>
          <t>https://www.roccpa.org.tw/member_search/more?id=9CD4A4F3-3155-47B2-9300-457A5470AED7</t>
        </is>
      </c>
    </row>
    <row r="52">
      <c r="A52" s="10" t="n">
        <v>51</v>
      </c>
      <c r="B52" s="11" t="inlineStr">
        <is>
          <t>勤業眾信聯合會計師事務所</t>
        </is>
      </c>
      <c r="C52" s="11" t="inlineStr">
        <is>
          <t>Deloitte 勤業眾信</t>
        </is>
      </c>
      <c r="D52" s="11" t="inlineStr">
        <is>
          <t>李冠豪</t>
        </is>
      </c>
      <c r="E52" s="10" t="inlineStr">
        <is>
          <t>台北總所</t>
        </is>
      </c>
      <c r="F52" s="12" t="inlineStr">
        <is>
          <t>台北市信義區松仁路100號20樓</t>
        </is>
      </c>
      <c r="G52" s="12" t="inlineStr">
        <is>
          <t>台北市信義區松仁路100號20樓</t>
        </is>
      </c>
      <c r="H52" s="12" t="inlineStr"/>
      <c r="I52" s="10" t="inlineStr">
        <is>
          <t>110/11/01</t>
        </is>
      </c>
      <c r="J52" s="11" t="inlineStr">
        <is>
          <t>全聯會一字第1100429</t>
        </is>
      </c>
      <c r="K52" s="10" t="inlineStr">
        <is>
          <t>北市</t>
        </is>
      </c>
      <c r="L52" s="10" t="inlineStr">
        <is>
          <t>110/11/01</t>
        </is>
      </c>
      <c r="M52" s="10" t="inlineStr">
        <is>
          <t>4377</t>
        </is>
      </c>
      <c r="N52" s="10" t="inlineStr">
        <is>
          <t>2026-06-05</t>
        </is>
      </c>
      <c r="O52" s="11" t="inlineStr">
        <is>
          <t>https://www.roccpa.org.tw/member_search/more?id=C3D8A53A-95A5-4507-9B55-C29526546704</t>
        </is>
      </c>
    </row>
    <row r="53">
      <c r="A53" s="10" t="n">
        <v>52</v>
      </c>
      <c r="B53" s="11" t="inlineStr">
        <is>
          <t>勤業眾信聯合會計師事務所</t>
        </is>
      </c>
      <c r="C53" s="11" t="inlineStr">
        <is>
          <t>Deloitte 勤業眾信</t>
        </is>
      </c>
      <c r="D53" s="11" t="inlineStr">
        <is>
          <t>李協昌</t>
        </is>
      </c>
      <c r="E53" s="10" t="inlineStr">
        <is>
          <t>台北總所</t>
        </is>
      </c>
      <c r="F53" s="12" t="inlineStr">
        <is>
          <t>台北市信義區松仁路100號20樓</t>
        </is>
      </c>
      <c r="G53" s="12" t="inlineStr">
        <is>
          <t>台北市信義區松仁路100號20樓</t>
        </is>
      </c>
      <c r="H53" s="12" t="inlineStr"/>
      <c r="I53" s="10" t="inlineStr">
        <is>
          <t>113/06/19</t>
        </is>
      </c>
      <c r="J53" s="11" t="inlineStr">
        <is>
          <t>全聯會一字第1130000282號</t>
        </is>
      </c>
      <c r="K53" s="10" t="inlineStr">
        <is>
          <t>北市</t>
        </is>
      </c>
      <c r="L53" s="10" t="inlineStr">
        <is>
          <t>113/06/19</t>
        </is>
      </c>
      <c r="M53" s="10" t="inlineStr">
        <is>
          <t>4639</t>
        </is>
      </c>
      <c r="N53" s="10" t="inlineStr">
        <is>
          <t>2026-06-05</t>
        </is>
      </c>
      <c r="O53" s="11" t="inlineStr">
        <is>
          <t>https://www.roccpa.org.tw/member_search/more?id=8799F601-0F5C-4A37-9960-7D57546C009F</t>
        </is>
      </c>
    </row>
    <row r="54">
      <c r="A54" s="10" t="n">
        <v>53</v>
      </c>
      <c r="B54" s="11" t="inlineStr">
        <is>
          <t>勤業眾信聯合會計師事務所</t>
        </is>
      </c>
      <c r="C54" s="11" t="inlineStr">
        <is>
          <t>Deloitte 勤業眾信</t>
        </is>
      </c>
      <c r="D54" s="11" t="inlineStr">
        <is>
          <t>李嘉雯</t>
        </is>
      </c>
      <c r="E54" s="10" t="inlineStr">
        <is>
          <t>台北總所</t>
        </is>
      </c>
      <c r="F54" s="12" t="inlineStr">
        <is>
          <t>台北市信義區松仁路100號20樓</t>
        </is>
      </c>
      <c r="G54" s="12" t="inlineStr">
        <is>
          <t>台北市信義區松仁路100號20樓</t>
        </is>
      </c>
      <c r="H54" s="12" t="inlineStr"/>
      <c r="I54" s="10" t="inlineStr">
        <is>
          <t>110/06/09</t>
        </is>
      </c>
      <c r="J54" s="11" t="inlineStr">
        <is>
          <t>全聯會一字第1100235</t>
        </is>
      </c>
      <c r="K54" s="10" t="inlineStr">
        <is>
          <t>北市</t>
        </is>
      </c>
      <c r="L54" s="10" t="inlineStr">
        <is>
          <t>110/06/09</t>
        </is>
      </c>
      <c r="M54" s="10" t="inlineStr">
        <is>
          <t>4340</t>
        </is>
      </c>
      <c r="N54" s="10" t="inlineStr">
        <is>
          <t>2026-06-05</t>
        </is>
      </c>
      <c r="O54" s="11" t="inlineStr">
        <is>
          <t>https://www.roccpa.org.tw/member_search/more?id=3DB882A6-01AE-49FD-8D4E-16451F9054FB</t>
        </is>
      </c>
    </row>
    <row r="55">
      <c r="A55" s="10" t="n">
        <v>54</v>
      </c>
      <c r="B55" s="11" t="inlineStr">
        <is>
          <t>勤業眾信聯合會計師事務所</t>
        </is>
      </c>
      <c r="C55" s="11" t="inlineStr">
        <is>
          <t>Deloitte 勤業眾信</t>
        </is>
      </c>
      <c r="D55" s="11" t="inlineStr">
        <is>
          <t>李惠先</t>
        </is>
      </c>
      <c r="E55" s="10" t="inlineStr">
        <is>
          <t>台北總所</t>
        </is>
      </c>
      <c r="F55" s="12" t="inlineStr">
        <is>
          <t>台北市信義區松仁路100號20樓</t>
        </is>
      </c>
      <c r="G55" s="12" t="inlineStr">
        <is>
          <t>台北市信義區松仁路100號20樓</t>
        </is>
      </c>
      <c r="H55" s="12" t="inlineStr"/>
      <c r="I55" s="10" t="inlineStr">
        <is>
          <t>105/06/01</t>
        </is>
      </c>
      <c r="J55" s="11" t="inlineStr">
        <is>
          <t>全聯會一字第1050257</t>
        </is>
      </c>
      <c r="K55" s="10" t="inlineStr">
        <is>
          <t>北市</t>
        </is>
      </c>
      <c r="L55" s="10" t="inlineStr">
        <is>
          <t>105/06/13</t>
        </is>
      </c>
      <c r="M55" s="10" t="inlineStr">
        <is>
          <t>3942</t>
        </is>
      </c>
      <c r="N55" s="10" t="inlineStr">
        <is>
          <t>2026-06-05</t>
        </is>
      </c>
      <c r="O55" s="11" t="inlineStr">
        <is>
          <t>https://www.roccpa.org.tw/member_search/more?id=19529D28-CB3C-483A-BDF5-BD60883E6788</t>
        </is>
      </c>
    </row>
    <row r="56">
      <c r="A56" s="10" t="n">
        <v>55</v>
      </c>
      <c r="B56" s="11" t="inlineStr">
        <is>
          <t>勤業眾信聯合會計師事務所</t>
        </is>
      </c>
      <c r="C56" s="11" t="inlineStr">
        <is>
          <t>Deloitte 勤業眾信</t>
        </is>
      </c>
      <c r="D56" s="11" t="inlineStr">
        <is>
          <t>李東峰</t>
        </is>
      </c>
      <c r="E56" s="10" t="inlineStr">
        <is>
          <t>台北總所</t>
        </is>
      </c>
      <c r="F56" s="12" t="inlineStr">
        <is>
          <t>台北市信義區松仁路100號20樓</t>
        </is>
      </c>
      <c r="G56" s="12" t="inlineStr">
        <is>
          <t>台北市信義區松仁路100號20樓</t>
        </is>
      </c>
      <c r="H56" s="12" t="inlineStr"/>
      <c r="I56" s="10" t="inlineStr"/>
      <c r="J56" s="11" t="inlineStr"/>
      <c r="K56" s="10" t="inlineStr">
        <is>
          <t>北市</t>
        </is>
      </c>
      <c r="L56" s="10" t="inlineStr">
        <is>
          <t>093/06/10</t>
        </is>
      </c>
      <c r="M56" s="10" t="inlineStr">
        <is>
          <t>2660</t>
        </is>
      </c>
      <c r="N56" s="10" t="inlineStr">
        <is>
          <t>2026-06-05</t>
        </is>
      </c>
      <c r="O56" s="11" t="inlineStr">
        <is>
          <t>https://www.roccpa.org.tw/member_search/more?id=B4BFCA03-EAAF-48CC-9C4F-2FD77F712F00</t>
        </is>
      </c>
    </row>
    <row r="57">
      <c r="A57" s="10" t="n">
        <v>56</v>
      </c>
      <c r="B57" s="11" t="inlineStr">
        <is>
          <t>勤業眾信聯合會計師事務所</t>
        </is>
      </c>
      <c r="C57" s="11" t="inlineStr">
        <is>
          <t>Deloitte 勤業眾信</t>
        </is>
      </c>
      <c r="D57" s="11" t="inlineStr">
        <is>
          <t>李柏廷</t>
        </is>
      </c>
      <c r="E57" s="10" t="inlineStr">
        <is>
          <t>台北總所</t>
        </is>
      </c>
      <c r="F57" s="12" t="inlineStr">
        <is>
          <t>台北市信義區松仁路100號20樓</t>
        </is>
      </c>
      <c r="G57" s="12" t="inlineStr">
        <is>
          <t>台北市信義區松仁路100號20樓</t>
        </is>
      </c>
      <c r="H57" s="12" t="inlineStr"/>
      <c r="I57" s="10" t="inlineStr">
        <is>
          <t>115/06/15</t>
        </is>
      </c>
      <c r="J57" s="11" t="inlineStr">
        <is>
          <t>全聯會一字第1150000292號</t>
        </is>
      </c>
      <c r="K57" s="10" t="inlineStr">
        <is>
          <t>北市</t>
        </is>
      </c>
      <c r="L57" s="10" t="inlineStr">
        <is>
          <t>115/06/15</t>
        </is>
      </c>
      <c r="M57" s="10" t="inlineStr">
        <is>
          <t>4899</t>
        </is>
      </c>
      <c r="N57" s="10" t="inlineStr">
        <is>
          <t>2026-06-23</t>
        </is>
      </c>
      <c r="O57" s="11" t="inlineStr">
        <is>
          <t>https://www.roccpa.org.tw/member_search/more?id=aed062bdf00544f7813b769597dfddf8</t>
        </is>
      </c>
    </row>
    <row r="58">
      <c r="A58" s="10" t="n">
        <v>57</v>
      </c>
      <c r="B58" s="11" t="inlineStr">
        <is>
          <t>勤業眾信聯合會計師事務所</t>
        </is>
      </c>
      <c r="C58" s="11" t="inlineStr">
        <is>
          <t>Deloitte 勤業眾信</t>
        </is>
      </c>
      <c r="D58" s="11" t="inlineStr">
        <is>
          <t>李穗青</t>
        </is>
      </c>
      <c r="E58" s="10" t="inlineStr">
        <is>
          <t>台北總所</t>
        </is>
      </c>
      <c r="F58" s="12" t="inlineStr">
        <is>
          <t>台北市信義區松仁路100號20樓</t>
        </is>
      </c>
      <c r="G58" s="12" t="inlineStr">
        <is>
          <t>台北市信義區松仁路100號20樓</t>
        </is>
      </c>
      <c r="H58" s="12" t="inlineStr"/>
      <c r="I58" s="10" t="inlineStr">
        <is>
          <t>110/06/09</t>
        </is>
      </c>
      <c r="J58" s="11" t="inlineStr">
        <is>
          <t>全聯會一字第1100229</t>
        </is>
      </c>
      <c r="K58" s="10" t="inlineStr">
        <is>
          <t>北市</t>
        </is>
      </c>
      <c r="L58" s="10" t="inlineStr">
        <is>
          <t>110/06/09</t>
        </is>
      </c>
      <c r="M58" s="10" t="inlineStr">
        <is>
          <t>4334</t>
        </is>
      </c>
      <c r="N58" s="10" t="inlineStr">
        <is>
          <t>2026-06-05</t>
        </is>
      </c>
      <c r="O58" s="11" t="inlineStr">
        <is>
          <t>https://www.roccpa.org.tw/member_search/more?id=D94A8848-95D5-411F-A06A-7180684C7F8B</t>
        </is>
      </c>
    </row>
    <row r="59">
      <c r="A59" s="10" t="n">
        <v>58</v>
      </c>
      <c r="B59" s="11" t="inlineStr">
        <is>
          <t>勤業眾信聯合會計師事務所</t>
        </is>
      </c>
      <c r="C59" s="11" t="inlineStr">
        <is>
          <t>Deloitte 勤業眾信</t>
        </is>
      </c>
      <c r="D59" s="11" t="inlineStr">
        <is>
          <t>李紹平</t>
        </is>
      </c>
      <c r="E59" s="10" t="inlineStr">
        <is>
          <t>台北總所</t>
        </is>
      </c>
      <c r="F59" s="12" t="inlineStr">
        <is>
          <t>台北市信義區松仁路100號20樓</t>
        </is>
      </c>
      <c r="G59" s="12" t="inlineStr">
        <is>
          <t>台北市信義區松仁路100號20樓</t>
        </is>
      </c>
      <c r="H59" s="12" t="inlineStr"/>
      <c r="I59" s="10" t="inlineStr">
        <is>
          <t>103/05/30</t>
        </is>
      </c>
      <c r="J59" s="11" t="inlineStr">
        <is>
          <t>全聯會一字第1030216</t>
        </is>
      </c>
      <c r="K59" s="10" t="inlineStr">
        <is>
          <t>北市</t>
        </is>
      </c>
      <c r="L59" s="10" t="inlineStr">
        <is>
          <t>103/06/12</t>
        </is>
      </c>
      <c r="M59" s="10" t="inlineStr">
        <is>
          <t>3707</t>
        </is>
      </c>
      <c r="N59" s="10" t="inlineStr">
        <is>
          <t>2026-06-05</t>
        </is>
      </c>
      <c r="O59" s="11" t="inlineStr">
        <is>
          <t>https://www.roccpa.org.tw/member_search/more?id=7F2788BF-80FE-4AC5-BDC0-C65EB6A70999</t>
        </is>
      </c>
    </row>
    <row r="60">
      <c r="A60" s="10" t="n">
        <v>59</v>
      </c>
      <c r="B60" s="11" t="inlineStr">
        <is>
          <t>勤業眾信聯合會計師事務所</t>
        </is>
      </c>
      <c r="C60" s="11" t="inlineStr">
        <is>
          <t>Deloitte 勤業眾信</t>
        </is>
      </c>
      <c r="D60" s="11" t="inlineStr">
        <is>
          <t>李芸珊</t>
        </is>
      </c>
      <c r="E60" s="10" t="inlineStr">
        <is>
          <t>台北總所</t>
        </is>
      </c>
      <c r="F60" s="12" t="inlineStr">
        <is>
          <t>台北市信義區松仁路100號20樓</t>
        </is>
      </c>
      <c r="G60" s="12" t="inlineStr">
        <is>
          <t>台北市信義區松仁路100號20樓</t>
        </is>
      </c>
      <c r="H60" s="12" t="inlineStr"/>
      <c r="I60" s="10" t="inlineStr">
        <is>
          <t>114/06/18</t>
        </is>
      </c>
      <c r="J60" s="11" t="inlineStr">
        <is>
          <t>全聯會一字第1140000244號</t>
        </is>
      </c>
      <c r="K60" s="10" t="inlineStr">
        <is>
          <t>北市</t>
        </is>
      </c>
      <c r="L60" s="10" t="inlineStr">
        <is>
          <t>114/06/18</t>
        </is>
      </c>
      <c r="M60" s="10" t="inlineStr">
        <is>
          <t>4728</t>
        </is>
      </c>
      <c r="N60" s="10" t="inlineStr">
        <is>
          <t>2026-06-05</t>
        </is>
      </c>
      <c r="O60" s="11" t="inlineStr">
        <is>
          <t>https://www.roccpa.org.tw/member_search/more?id=3F90D3FB-2D03-41A4-97CE-BC9D3FEB81D3</t>
        </is>
      </c>
    </row>
    <row r="61">
      <c r="A61" s="10" t="n">
        <v>60</v>
      </c>
      <c r="B61" s="11" t="inlineStr">
        <is>
          <t>勤業眾信聯合會計師事務所</t>
        </is>
      </c>
      <c r="C61" s="11" t="inlineStr">
        <is>
          <t>Deloitte 勤業眾信</t>
        </is>
      </c>
      <c r="D61" s="11" t="inlineStr">
        <is>
          <t>李麗凰</t>
        </is>
      </c>
      <c r="E61" s="10" t="inlineStr">
        <is>
          <t>台北總所</t>
        </is>
      </c>
      <c r="F61" s="12" t="inlineStr">
        <is>
          <t>台北市信義區松仁路100號20樓</t>
        </is>
      </c>
      <c r="G61" s="12" t="inlineStr">
        <is>
          <t>台北市信義區松仁路100號20樓</t>
        </is>
      </c>
      <c r="H61" s="12" t="inlineStr"/>
      <c r="I61" s="10" t="inlineStr"/>
      <c r="J61" s="11" t="inlineStr"/>
      <c r="K61" s="10" t="inlineStr">
        <is>
          <t>北市</t>
        </is>
      </c>
      <c r="L61" s="10" t="inlineStr">
        <is>
          <t>093/06/10</t>
        </is>
      </c>
      <c r="M61" s="10" t="inlineStr">
        <is>
          <t>2650</t>
        </is>
      </c>
      <c r="N61" s="10" t="inlineStr">
        <is>
          <t>2026-06-05</t>
        </is>
      </c>
      <c r="O61" s="11" t="inlineStr">
        <is>
          <t>https://www.roccpa.org.tw/member_search/more?id=E3A870D5-A501-4133-B9CC-C06C58DD1414</t>
        </is>
      </c>
    </row>
    <row r="62">
      <c r="A62" s="10" t="n">
        <v>61</v>
      </c>
      <c r="B62" s="11" t="inlineStr">
        <is>
          <t>勤業眾信聯合會計師事務所</t>
        </is>
      </c>
      <c r="C62" s="11" t="inlineStr">
        <is>
          <t>Deloitte 勤業眾信</t>
        </is>
      </c>
      <c r="D62" s="11" t="inlineStr">
        <is>
          <t>林志偉</t>
        </is>
      </c>
      <c r="E62" s="10" t="inlineStr">
        <is>
          <t>台北總所</t>
        </is>
      </c>
      <c r="F62" s="12" t="inlineStr">
        <is>
          <t>台北市信義區松仁路100號20樓</t>
        </is>
      </c>
      <c r="G62" s="12" t="inlineStr">
        <is>
          <t>台北市信義區松仁路100號20樓</t>
        </is>
      </c>
      <c r="H62" s="12" t="inlineStr"/>
      <c r="I62" s="10" t="inlineStr">
        <is>
          <t>113/06/19</t>
        </is>
      </c>
      <c r="J62" s="11" t="inlineStr">
        <is>
          <t>全聯會一字第1130000287號</t>
        </is>
      </c>
      <c r="K62" s="10" t="inlineStr">
        <is>
          <t>北市</t>
        </is>
      </c>
      <c r="L62" s="10" t="inlineStr">
        <is>
          <t>113/06/19</t>
        </is>
      </c>
      <c r="M62" s="10" t="inlineStr">
        <is>
          <t>4644</t>
        </is>
      </c>
      <c r="N62" s="10" t="inlineStr">
        <is>
          <t>2026-06-05</t>
        </is>
      </c>
      <c r="O62" s="11" t="inlineStr">
        <is>
          <t>https://www.roccpa.org.tw/member_search/more?id=8FA72C42-FFD0-4B3D-8C48-13D855A0F9AE</t>
        </is>
      </c>
    </row>
    <row r="63">
      <c r="A63" s="10" t="n">
        <v>62</v>
      </c>
      <c r="B63" s="11" t="inlineStr">
        <is>
          <t>勤業眾信聯合會計師事務所</t>
        </is>
      </c>
      <c r="C63" s="11" t="inlineStr">
        <is>
          <t>Deloitte 勤業眾信</t>
        </is>
      </c>
      <c r="D63" s="11" t="inlineStr">
        <is>
          <t>林旺生</t>
        </is>
      </c>
      <c r="E63" s="10" t="inlineStr">
        <is>
          <t>台北總所</t>
        </is>
      </c>
      <c r="F63" s="12" t="inlineStr">
        <is>
          <t>台北市信義區松仁路100號20樓</t>
        </is>
      </c>
      <c r="G63" s="12" t="inlineStr">
        <is>
          <t>台北市信義區松仁路100號20樓</t>
        </is>
      </c>
      <c r="H63" s="12" t="inlineStr"/>
      <c r="I63" s="10" t="inlineStr">
        <is>
          <t>106/06/01</t>
        </is>
      </c>
      <c r="J63" s="11" t="inlineStr">
        <is>
          <t>全聯會一字第1060198</t>
        </is>
      </c>
      <c r="K63" s="10" t="inlineStr">
        <is>
          <t>北市</t>
        </is>
      </c>
      <c r="L63" s="10" t="inlineStr">
        <is>
          <t>106/06/13</t>
        </is>
      </c>
      <c r="M63" s="10" t="inlineStr">
        <is>
          <t>4020</t>
        </is>
      </c>
      <c r="N63" s="10" t="inlineStr">
        <is>
          <t>2026-06-05</t>
        </is>
      </c>
      <c r="O63" s="11" t="inlineStr">
        <is>
          <t>https://www.roccpa.org.tw/member_search/more?id=A4751F9B-C322-4B01-BCA3-5EDD004F4D0D</t>
        </is>
      </c>
    </row>
    <row r="64">
      <c r="A64" s="10" t="n">
        <v>63</v>
      </c>
      <c r="B64" s="11" t="inlineStr">
        <is>
          <t>勤業眾信聯合會計師事務所</t>
        </is>
      </c>
      <c r="C64" s="11" t="inlineStr">
        <is>
          <t>Deloitte 勤業眾信</t>
        </is>
      </c>
      <c r="D64" s="11" t="inlineStr">
        <is>
          <t>林淑如</t>
        </is>
      </c>
      <c r="E64" s="10" t="inlineStr">
        <is>
          <t>台北總所</t>
        </is>
      </c>
      <c r="F64" s="12" t="inlineStr">
        <is>
          <t>台北市信義區松仁路100號20樓</t>
        </is>
      </c>
      <c r="G64" s="12" t="inlineStr">
        <is>
          <t>台北市信義區松仁路100號20樓</t>
        </is>
      </c>
      <c r="H64" s="12" t="inlineStr"/>
      <c r="I64" s="10" t="inlineStr">
        <is>
          <t>108/06/12</t>
        </is>
      </c>
      <c r="J64" s="11" t="inlineStr">
        <is>
          <t>全聯會一字第1080208</t>
        </is>
      </c>
      <c r="K64" s="10" t="inlineStr">
        <is>
          <t>北市</t>
        </is>
      </c>
      <c r="L64" s="10" t="inlineStr">
        <is>
          <t>108/06/12</t>
        </is>
      </c>
      <c r="M64" s="10" t="inlineStr">
        <is>
          <t>4172</t>
        </is>
      </c>
      <c r="N64" s="10" t="inlineStr">
        <is>
          <t>2026-06-05</t>
        </is>
      </c>
      <c r="O64" s="11" t="inlineStr">
        <is>
          <t>https://www.roccpa.org.tw/member_search/more?id=83FF869A-7DFE-4D8B-80C2-461F9FF43D5D</t>
        </is>
      </c>
    </row>
    <row r="65">
      <c r="A65" s="10" t="n">
        <v>64</v>
      </c>
      <c r="B65" s="11" t="inlineStr">
        <is>
          <t>勤業眾信聯合會計師事務所</t>
        </is>
      </c>
      <c r="C65" s="11" t="inlineStr">
        <is>
          <t>Deloitte 勤業眾信</t>
        </is>
      </c>
      <c r="D65" s="11" t="inlineStr">
        <is>
          <t>林淑婉</t>
        </is>
      </c>
      <c r="E65" s="10" t="inlineStr">
        <is>
          <t>台北總所</t>
        </is>
      </c>
      <c r="F65" s="12" t="inlineStr">
        <is>
          <t>台北市信義區松仁路100號20樓</t>
        </is>
      </c>
      <c r="G65" s="12" t="inlineStr">
        <is>
          <t>台北市信義區松仁路100號20樓</t>
        </is>
      </c>
      <c r="H65" s="12" t="inlineStr"/>
      <c r="I65" s="10" t="inlineStr"/>
      <c r="J65" s="11" t="inlineStr"/>
      <c r="K65" s="10" t="inlineStr">
        <is>
          <t>北市</t>
        </is>
      </c>
      <c r="L65" s="10" t="inlineStr">
        <is>
          <t>093/11/17</t>
        </is>
      </c>
      <c r="M65" s="10" t="inlineStr">
        <is>
          <t>2693</t>
        </is>
      </c>
      <c r="N65" s="10" t="inlineStr">
        <is>
          <t>2026-06-05</t>
        </is>
      </c>
      <c r="O65" s="11" t="inlineStr">
        <is>
          <t>https://www.roccpa.org.tw/member_search/more?id=A73166DC-C1A3-421A-9092-F352A7D66DA7</t>
        </is>
      </c>
    </row>
    <row r="66">
      <c r="A66" s="10" t="n">
        <v>65</v>
      </c>
      <c r="B66" s="11" t="inlineStr">
        <is>
          <t>勤業眾信聯合會計師事務所</t>
        </is>
      </c>
      <c r="C66" s="11" t="inlineStr">
        <is>
          <t>Deloitte 勤業眾信</t>
        </is>
      </c>
      <c r="D66" s="11" t="inlineStr">
        <is>
          <t>林淑怡</t>
        </is>
      </c>
      <c r="E66" s="10" t="inlineStr">
        <is>
          <t>台北總所</t>
        </is>
      </c>
      <c r="F66" s="12" t="inlineStr">
        <is>
          <t>台北市信義區松仁路100號20樓</t>
        </is>
      </c>
      <c r="G66" s="12" t="inlineStr">
        <is>
          <t>台北市信義區松仁路100號20樓</t>
        </is>
      </c>
      <c r="H66" s="12" t="inlineStr"/>
      <c r="I66" s="10" t="inlineStr"/>
      <c r="J66" s="11" t="inlineStr"/>
      <c r="K66" s="10" t="inlineStr">
        <is>
          <t>北市</t>
        </is>
      </c>
      <c r="L66" s="10" t="inlineStr">
        <is>
          <t>096/06/11</t>
        </is>
      </c>
      <c r="M66" s="10" t="inlineStr">
        <is>
          <t>2945</t>
        </is>
      </c>
      <c r="N66" s="10" t="inlineStr">
        <is>
          <t>2026-06-05</t>
        </is>
      </c>
      <c r="O66" s="11" t="inlineStr">
        <is>
          <t>https://www.roccpa.org.tw/member_search/more?id=46A41D7C-7999-4FEE-A3C7-C3CC5C8832D1</t>
        </is>
      </c>
    </row>
    <row r="67">
      <c r="A67" s="10" t="n">
        <v>66</v>
      </c>
      <c r="B67" s="11" t="inlineStr">
        <is>
          <t>勤業眾信聯合會計師事務所</t>
        </is>
      </c>
      <c r="C67" s="11" t="inlineStr">
        <is>
          <t>Deloitte 勤業眾信</t>
        </is>
      </c>
      <c r="D67" s="11" t="inlineStr">
        <is>
          <t>柯志賢</t>
        </is>
      </c>
      <c r="E67" s="10" t="inlineStr">
        <is>
          <t>台北總所</t>
        </is>
      </c>
      <c r="F67" s="12" t="inlineStr">
        <is>
          <t>台北市信義區松仁路100號20樓</t>
        </is>
      </c>
      <c r="G67" s="12" t="inlineStr">
        <is>
          <t>台北市信義區松仁路100號20樓</t>
        </is>
      </c>
      <c r="H67" s="12" t="inlineStr"/>
      <c r="I67" s="10" t="inlineStr"/>
      <c r="J67" s="11" t="inlineStr"/>
      <c r="K67" s="10" t="inlineStr">
        <is>
          <t>北市</t>
        </is>
      </c>
      <c r="L67" s="10" t="inlineStr">
        <is>
          <t>093/11/17</t>
        </is>
      </c>
      <c r="M67" s="10" t="inlineStr">
        <is>
          <t>2696</t>
        </is>
      </c>
      <c r="N67" s="10" t="inlineStr">
        <is>
          <t>2026-06-05</t>
        </is>
      </c>
      <c r="O67" s="11" t="inlineStr">
        <is>
          <t>https://www.roccpa.org.tw/member_search/more?id=4BC790DB-EA1B-4316-A20D-6EA4BD4800C0</t>
        </is>
      </c>
    </row>
    <row r="68">
      <c r="A68" s="10" t="n">
        <v>67</v>
      </c>
      <c r="B68" s="11" t="inlineStr">
        <is>
          <t>勤業眾信聯合會計師事務所</t>
        </is>
      </c>
      <c r="C68" s="11" t="inlineStr">
        <is>
          <t>Deloitte 勤業眾信</t>
        </is>
      </c>
      <c r="D68" s="11" t="inlineStr">
        <is>
          <t>梁盛泰</t>
        </is>
      </c>
      <c r="E68" s="10" t="inlineStr">
        <is>
          <t>台北總所</t>
        </is>
      </c>
      <c r="F68" s="12" t="inlineStr">
        <is>
          <t>台北市信義區松仁路100號20樓</t>
        </is>
      </c>
      <c r="G68" s="12" t="inlineStr">
        <is>
          <t>台北市信義區松仁路100號20樓</t>
        </is>
      </c>
      <c r="H68" s="12" t="inlineStr"/>
      <c r="I68" s="10" t="inlineStr">
        <is>
          <t>110/06/09</t>
        </is>
      </c>
      <c r="J68" s="11" t="inlineStr">
        <is>
          <t>全聯會一字第1100231</t>
        </is>
      </c>
      <c r="K68" s="10" t="inlineStr">
        <is>
          <t>北市</t>
        </is>
      </c>
      <c r="L68" s="10" t="inlineStr">
        <is>
          <t>110/06/09</t>
        </is>
      </c>
      <c r="M68" s="10" t="inlineStr">
        <is>
          <t>4336</t>
        </is>
      </c>
      <c r="N68" s="10" t="inlineStr">
        <is>
          <t>2026-06-05</t>
        </is>
      </c>
      <c r="O68" s="11" t="inlineStr">
        <is>
          <t>https://www.roccpa.org.tw/member_search/more?id=DEBB4821-3D39-4E35-8D40-DCFC521F103A</t>
        </is>
      </c>
    </row>
    <row r="69">
      <c r="A69" s="10" t="n">
        <v>68</v>
      </c>
      <c r="B69" s="11" t="inlineStr">
        <is>
          <t>勤業眾信聯合會計師事務所</t>
        </is>
      </c>
      <c r="C69" s="11" t="inlineStr">
        <is>
          <t>Deloitte 勤業眾信</t>
        </is>
      </c>
      <c r="D69" s="11" t="inlineStr">
        <is>
          <t>楊啟聖</t>
        </is>
      </c>
      <c r="E69" s="10" t="inlineStr">
        <is>
          <t>台北總所</t>
        </is>
      </c>
      <c r="F69" s="12" t="inlineStr">
        <is>
          <t>台北市信義區松仁路100號20樓</t>
        </is>
      </c>
      <c r="G69" s="12" t="inlineStr">
        <is>
          <t>台北市信義區松仁路100號20樓</t>
        </is>
      </c>
      <c r="H69" s="12" t="inlineStr"/>
      <c r="I69" s="10" t="inlineStr">
        <is>
          <t>109/06/10</t>
        </is>
      </c>
      <c r="J69" s="11" t="inlineStr">
        <is>
          <t>全聯會一字第1090217</t>
        </is>
      </c>
      <c r="K69" s="10" t="inlineStr">
        <is>
          <t>北市</t>
        </is>
      </c>
      <c r="L69" s="10" t="inlineStr">
        <is>
          <t>109/06/10</t>
        </is>
      </c>
      <c r="M69" s="10" t="inlineStr">
        <is>
          <t>4256</t>
        </is>
      </c>
      <c r="N69" s="10" t="inlineStr">
        <is>
          <t>2026-06-05</t>
        </is>
      </c>
      <c r="O69" s="11" t="inlineStr">
        <is>
          <t>https://www.roccpa.org.tw/member_search/more?id=4CB9F9F9-78D1-44C4-85E0-8996E0F008C9</t>
        </is>
      </c>
    </row>
    <row r="70">
      <c r="A70" s="10" t="n">
        <v>69</v>
      </c>
      <c r="B70" s="11" t="inlineStr">
        <is>
          <t>勤業眾信聯合會計師事務所</t>
        </is>
      </c>
      <c r="C70" s="11" t="inlineStr">
        <is>
          <t>Deloitte 勤業眾信</t>
        </is>
      </c>
      <c r="D70" s="11" t="inlineStr">
        <is>
          <t>楊承修</t>
        </is>
      </c>
      <c r="E70" s="10" t="inlineStr">
        <is>
          <t>台北總所</t>
        </is>
      </c>
      <c r="F70" s="12" t="inlineStr">
        <is>
          <t>台北市信義區松仁路100號20樓</t>
        </is>
      </c>
      <c r="G70" s="12" t="inlineStr">
        <is>
          <t>台北市信義區松仁路100號20樓</t>
        </is>
      </c>
      <c r="H70" s="12" t="inlineStr"/>
      <c r="I70" s="10" t="inlineStr">
        <is>
          <t>098/05/27</t>
        </is>
      </c>
      <c r="J70" s="11" t="inlineStr">
        <is>
          <t>全聯會一字第09800197</t>
        </is>
      </c>
      <c r="K70" s="10" t="inlineStr">
        <is>
          <t>北市</t>
        </is>
      </c>
      <c r="L70" s="10" t="inlineStr">
        <is>
          <t>098/06/11</t>
        </is>
      </c>
      <c r="M70" s="10" t="inlineStr">
        <is>
          <t>3123</t>
        </is>
      </c>
      <c r="N70" s="10" t="inlineStr">
        <is>
          <t>2026-06-05</t>
        </is>
      </c>
      <c r="O70" s="11" t="inlineStr">
        <is>
          <t>https://www.roccpa.org.tw/member_search/more?id=F607E039-7264-466B-9BFE-B0C974257399</t>
        </is>
      </c>
    </row>
    <row r="71">
      <c r="A71" s="10" t="n">
        <v>70</v>
      </c>
      <c r="B71" s="11" t="inlineStr">
        <is>
          <t>勤業眾信聯合會計師事務所</t>
        </is>
      </c>
      <c r="C71" s="11" t="inlineStr">
        <is>
          <t>Deloitte 勤業眾信</t>
        </is>
      </c>
      <c r="D71" s="11" t="inlineStr">
        <is>
          <t>楊靜婷</t>
        </is>
      </c>
      <c r="E71" s="10" t="inlineStr">
        <is>
          <t>台北總所</t>
        </is>
      </c>
      <c r="F71" s="12" t="inlineStr">
        <is>
          <t>台北市信義區松仁路100號20樓</t>
        </is>
      </c>
      <c r="G71" s="12" t="inlineStr">
        <is>
          <t>台北市信義區松仁路100號20樓</t>
        </is>
      </c>
      <c r="H71" s="12" t="inlineStr"/>
      <c r="I71" s="10" t="inlineStr"/>
      <c r="J71" s="11" t="inlineStr"/>
      <c r="K71" s="10" t="inlineStr">
        <is>
          <t>北市</t>
        </is>
      </c>
      <c r="L71" s="10" t="inlineStr">
        <is>
          <t>093/06/10</t>
        </is>
      </c>
      <c r="M71" s="10" t="inlineStr">
        <is>
          <t>2652</t>
        </is>
      </c>
      <c r="N71" s="10" t="inlineStr">
        <is>
          <t>2026-06-05</t>
        </is>
      </c>
      <c r="O71" s="11" t="inlineStr">
        <is>
          <t>https://www.roccpa.org.tw/member_search/more?id=FB859068-D9E2-4455-A9EE-AE9B4D837748</t>
        </is>
      </c>
    </row>
    <row r="72">
      <c r="A72" s="10" t="n">
        <v>71</v>
      </c>
      <c r="B72" s="11" t="inlineStr">
        <is>
          <t>勤業眾信聯合會計師事務所</t>
        </is>
      </c>
      <c r="C72" s="11" t="inlineStr">
        <is>
          <t>Deloitte 勤業眾信</t>
        </is>
      </c>
      <c r="D72" s="11" t="inlineStr">
        <is>
          <t>江明南</t>
        </is>
      </c>
      <c r="E72" s="10" t="inlineStr">
        <is>
          <t>台北總所</t>
        </is>
      </c>
      <c r="F72" s="12" t="inlineStr">
        <is>
          <t>台北市信義區松仁路100號20樓</t>
        </is>
      </c>
      <c r="G72" s="12" t="inlineStr">
        <is>
          <t>台北市信義區松仁路100號20樓</t>
        </is>
      </c>
      <c r="H72" s="12" t="inlineStr"/>
      <c r="I72" s="10" t="inlineStr">
        <is>
          <t>105/06/01</t>
        </is>
      </c>
      <c r="J72" s="11" t="inlineStr">
        <is>
          <t>全聯會一字第1050253</t>
        </is>
      </c>
      <c r="K72" s="10" t="inlineStr">
        <is>
          <t>北市</t>
        </is>
      </c>
      <c r="L72" s="10" t="inlineStr">
        <is>
          <t>105/06/13</t>
        </is>
      </c>
      <c r="M72" s="10" t="inlineStr">
        <is>
          <t>3940</t>
        </is>
      </c>
      <c r="N72" s="10" t="inlineStr">
        <is>
          <t>2026-06-05</t>
        </is>
      </c>
      <c r="O72" s="11" t="inlineStr">
        <is>
          <t>https://www.roccpa.org.tw/member_search/more?id=9567C4E8-331A-477A-A1C0-1892BCEDFCC8</t>
        </is>
      </c>
    </row>
    <row r="73">
      <c r="A73" s="10" t="n">
        <v>72</v>
      </c>
      <c r="B73" s="11" t="inlineStr">
        <is>
          <t>勤業眾信聯合會計師事務所</t>
        </is>
      </c>
      <c r="C73" s="11" t="inlineStr">
        <is>
          <t>Deloitte 勤業眾信</t>
        </is>
      </c>
      <c r="D73" s="11" t="inlineStr">
        <is>
          <t>江美艷</t>
        </is>
      </c>
      <c r="E73" s="10" t="inlineStr">
        <is>
          <t>台北總所</t>
        </is>
      </c>
      <c r="F73" s="12" t="inlineStr">
        <is>
          <t>台北市信義區松仁路100號20樓</t>
        </is>
      </c>
      <c r="G73" s="12" t="inlineStr">
        <is>
          <t>台北市信義區松仁路100號20樓</t>
        </is>
      </c>
      <c r="H73" s="12" t="inlineStr"/>
      <c r="I73" s="10" t="inlineStr"/>
      <c r="J73" s="11" t="inlineStr"/>
      <c r="K73" s="10" t="inlineStr">
        <is>
          <t>北市</t>
        </is>
      </c>
      <c r="L73" s="10" t="inlineStr">
        <is>
          <t>093/06/24</t>
        </is>
      </c>
      <c r="M73" s="10" t="inlineStr">
        <is>
          <t>2663</t>
        </is>
      </c>
      <c r="N73" s="10" t="inlineStr">
        <is>
          <t>2026-06-05</t>
        </is>
      </c>
      <c r="O73" s="11" t="inlineStr">
        <is>
          <t>https://www.roccpa.org.tw/member_search/more?id=2AC4052F-E3E2-42E6-A588-4971D8FC5A33</t>
        </is>
      </c>
    </row>
    <row r="74">
      <c r="A74" s="10" t="n">
        <v>73</v>
      </c>
      <c r="B74" s="11" t="inlineStr">
        <is>
          <t>勤業眾信聯合會計師事務所</t>
        </is>
      </c>
      <c r="C74" s="11" t="inlineStr">
        <is>
          <t>Deloitte 勤業眾信</t>
        </is>
      </c>
      <c r="D74" s="11" t="inlineStr">
        <is>
          <t>江育維</t>
        </is>
      </c>
      <c r="E74" s="10" t="inlineStr">
        <is>
          <t>台北總所</t>
        </is>
      </c>
      <c r="F74" s="12" t="inlineStr">
        <is>
          <t>台北市信義區松仁路100號20樓</t>
        </is>
      </c>
      <c r="G74" s="12" t="inlineStr">
        <is>
          <t>台北市信義區松仁路100號20樓</t>
        </is>
      </c>
      <c r="H74" s="12" t="inlineStr"/>
      <c r="I74" s="10" t="inlineStr">
        <is>
          <t>108/06/12</t>
        </is>
      </c>
      <c r="J74" s="11" t="inlineStr">
        <is>
          <t>全聯會一字第1080209</t>
        </is>
      </c>
      <c r="K74" s="10" t="inlineStr">
        <is>
          <t>北市</t>
        </is>
      </c>
      <c r="L74" s="10" t="inlineStr">
        <is>
          <t>108/06/12</t>
        </is>
      </c>
      <c r="M74" s="10" t="inlineStr">
        <is>
          <t>4173</t>
        </is>
      </c>
      <c r="N74" s="10" t="inlineStr">
        <is>
          <t>2026-06-05</t>
        </is>
      </c>
      <c r="O74" s="11" t="inlineStr">
        <is>
          <t>https://www.roccpa.org.tw/member_search/more?id=77982608-BFED-4176-B762-3470CB12F125</t>
        </is>
      </c>
    </row>
    <row r="75">
      <c r="A75" s="10" t="n">
        <v>74</v>
      </c>
      <c r="B75" s="11" t="inlineStr">
        <is>
          <t>勤業眾信聯合會計師事務所</t>
        </is>
      </c>
      <c r="C75" s="11" t="inlineStr">
        <is>
          <t>Deloitte 勤業眾信</t>
        </is>
      </c>
      <c r="D75" s="11" t="inlineStr">
        <is>
          <t>池瑞全</t>
        </is>
      </c>
      <c r="E75" s="10" t="inlineStr">
        <is>
          <t>台北總所</t>
        </is>
      </c>
      <c r="F75" s="12" t="inlineStr">
        <is>
          <t>台北市信義區松仁路100號20樓</t>
        </is>
      </c>
      <c r="G75" s="12" t="inlineStr">
        <is>
          <t>台北市信義區松仁路100號20樓</t>
        </is>
      </c>
      <c r="H75" s="12" t="inlineStr"/>
      <c r="I75" s="10" t="inlineStr"/>
      <c r="J75" s="11" t="inlineStr"/>
      <c r="K75" s="10" t="inlineStr">
        <is>
          <t>北市</t>
        </is>
      </c>
      <c r="L75" s="10" t="inlineStr">
        <is>
          <t>090/01/10</t>
        </is>
      </c>
      <c r="M75" s="10" t="inlineStr">
        <is>
          <t>2332</t>
        </is>
      </c>
      <c r="N75" s="10" t="inlineStr">
        <is>
          <t>2026-06-05</t>
        </is>
      </c>
      <c r="O75" s="11" t="inlineStr">
        <is>
          <t>https://www.roccpa.org.tw/member_search/more?id=9E41795E-C06C-4CAF-B2F1-F98638994DEA</t>
        </is>
      </c>
    </row>
    <row r="76">
      <c r="A76" s="10" t="n">
        <v>75</v>
      </c>
      <c r="B76" s="11" t="inlineStr">
        <is>
          <t>勤業眾信聯合會計師事務所</t>
        </is>
      </c>
      <c r="C76" s="11" t="inlineStr">
        <is>
          <t>Deloitte 勤業眾信</t>
        </is>
      </c>
      <c r="D76" s="11" t="inlineStr">
        <is>
          <t>洪于婷</t>
        </is>
      </c>
      <c r="E76" s="10" t="inlineStr">
        <is>
          <t>台北總所</t>
        </is>
      </c>
      <c r="F76" s="12" t="inlineStr">
        <is>
          <t>台北市信義區松仁路100號20樓</t>
        </is>
      </c>
      <c r="G76" s="12" t="inlineStr">
        <is>
          <t>台北市信義區松仁路100號20樓</t>
        </is>
      </c>
      <c r="H76" s="12" t="inlineStr"/>
      <c r="I76" s="10" t="inlineStr">
        <is>
          <t>109/06/10</t>
        </is>
      </c>
      <c r="J76" s="11" t="inlineStr">
        <is>
          <t>全聯會一字第1090216</t>
        </is>
      </c>
      <c r="K76" s="10" t="inlineStr">
        <is>
          <t>北市</t>
        </is>
      </c>
      <c r="L76" s="10" t="inlineStr">
        <is>
          <t>109/06/10</t>
        </is>
      </c>
      <c r="M76" s="10" t="inlineStr">
        <is>
          <t>4255</t>
        </is>
      </c>
      <c r="N76" s="10" t="inlineStr">
        <is>
          <t>2026-06-05</t>
        </is>
      </c>
      <c r="O76" s="11" t="inlineStr">
        <is>
          <t>https://www.roccpa.org.tw/member_search/more?id=A0802C22-F4BA-4669-84FF-3E47DC587A7E</t>
        </is>
      </c>
    </row>
    <row r="77">
      <c r="A77" s="10" t="n">
        <v>76</v>
      </c>
      <c r="B77" s="11" t="inlineStr">
        <is>
          <t>勤業眾信聯合會計師事務所</t>
        </is>
      </c>
      <c r="C77" s="11" t="inlineStr">
        <is>
          <t>Deloitte 勤業眾信</t>
        </is>
      </c>
      <c r="D77" s="11" t="inlineStr">
        <is>
          <t>洪以文</t>
        </is>
      </c>
      <c r="E77" s="10" t="inlineStr">
        <is>
          <t>台北總所</t>
        </is>
      </c>
      <c r="F77" s="12" t="inlineStr">
        <is>
          <t>台北市信義區松仁路100號20樓</t>
        </is>
      </c>
      <c r="G77" s="12" t="inlineStr">
        <is>
          <t>台北市信義區松仁路100號20樓</t>
        </is>
      </c>
      <c r="H77" s="12" t="inlineStr"/>
      <c r="I77" s="10" t="inlineStr">
        <is>
          <t>114/06/18</t>
        </is>
      </c>
      <c r="J77" s="11" t="inlineStr">
        <is>
          <t>全聯會一字第1140000248號</t>
        </is>
      </c>
      <c r="K77" s="10" t="inlineStr">
        <is>
          <t>北市</t>
        </is>
      </c>
      <c r="L77" s="10" t="inlineStr">
        <is>
          <t>114/06/18</t>
        </is>
      </c>
      <c r="M77" s="10" t="inlineStr">
        <is>
          <t>4732</t>
        </is>
      </c>
      <c r="N77" s="10" t="inlineStr">
        <is>
          <t>2026-06-05</t>
        </is>
      </c>
      <c r="O77" s="11" t="inlineStr">
        <is>
          <t>https://www.roccpa.org.tw/member_search/more?id=2B12203F-81B2-4B38-8489-CD8717965D11</t>
        </is>
      </c>
    </row>
    <row r="78">
      <c r="A78" s="10" t="n">
        <v>77</v>
      </c>
      <c r="B78" s="11" t="inlineStr">
        <is>
          <t>勤業眾信聯合會計師事務所</t>
        </is>
      </c>
      <c r="C78" s="11" t="inlineStr">
        <is>
          <t>Deloitte 勤業眾信</t>
        </is>
      </c>
      <c r="D78" s="11" t="inlineStr">
        <is>
          <t>洪偉倫</t>
        </is>
      </c>
      <c r="E78" s="10" t="inlineStr">
        <is>
          <t>台北總所</t>
        </is>
      </c>
      <c r="F78" s="12" t="inlineStr">
        <is>
          <t>台北市信義區松仁路100號20樓</t>
        </is>
      </c>
      <c r="G78" s="12" t="inlineStr">
        <is>
          <t>台北市信義區松仁路100號20樓</t>
        </is>
      </c>
      <c r="H78" s="12" t="inlineStr"/>
      <c r="I78" s="10" t="inlineStr">
        <is>
          <t>114/06/18</t>
        </is>
      </c>
      <c r="J78" s="11" t="inlineStr">
        <is>
          <t>全聯會一字第1140000245號</t>
        </is>
      </c>
      <c r="K78" s="10" t="inlineStr">
        <is>
          <t>北市</t>
        </is>
      </c>
      <c r="L78" s="10" t="inlineStr">
        <is>
          <t>114/06/18</t>
        </is>
      </c>
      <c r="M78" s="10" t="inlineStr">
        <is>
          <t>4729</t>
        </is>
      </c>
      <c r="N78" s="10" t="inlineStr">
        <is>
          <t>2026-06-05</t>
        </is>
      </c>
      <c r="O78" s="11" t="inlineStr">
        <is>
          <t>https://www.roccpa.org.tw/member_search/more?id=70DD5F73-9EB0-43A4-AB4D-9FBAB6116236</t>
        </is>
      </c>
    </row>
    <row r="79">
      <c r="A79" s="10" t="n">
        <v>78</v>
      </c>
      <c r="B79" s="11" t="inlineStr">
        <is>
          <t>勤業眾信聯合會計師事務所</t>
        </is>
      </c>
      <c r="C79" s="11" t="inlineStr">
        <is>
          <t>Deloitte 勤業眾信</t>
        </is>
      </c>
      <c r="D79" s="11" t="inlineStr">
        <is>
          <t>洪國田</t>
        </is>
      </c>
      <c r="E79" s="10" t="inlineStr">
        <is>
          <t>台北總所</t>
        </is>
      </c>
      <c r="F79" s="12" t="inlineStr">
        <is>
          <t>台北市信義區松仁路100號20樓</t>
        </is>
      </c>
      <c r="G79" s="12" t="inlineStr">
        <is>
          <t>台北市信義區松仁路100號20樓</t>
        </is>
      </c>
      <c r="H79" s="12" t="inlineStr"/>
      <c r="I79" s="10" t="inlineStr"/>
      <c r="J79" s="11" t="inlineStr"/>
      <c r="K79" s="10" t="inlineStr">
        <is>
          <t>北市</t>
        </is>
      </c>
      <c r="L79" s="10" t="inlineStr">
        <is>
          <t>091/12/16</t>
        </is>
      </c>
      <c r="M79" s="10" t="inlineStr">
        <is>
          <t>2526</t>
        </is>
      </c>
      <c r="N79" s="10" t="inlineStr">
        <is>
          <t>2026-06-05</t>
        </is>
      </c>
      <c r="O79" s="11" t="inlineStr">
        <is>
          <t>https://www.roccpa.org.tw/member_search/more?id=3BFBEB63-C463-4A2E-93A6-9EF4DFA17D7C</t>
        </is>
      </c>
    </row>
    <row r="80">
      <c r="A80" s="10" t="n">
        <v>79</v>
      </c>
      <c r="B80" s="11" t="inlineStr">
        <is>
          <t>勤業眾信聯合會計師事務所</t>
        </is>
      </c>
      <c r="C80" s="11" t="inlineStr">
        <is>
          <t>Deloitte 勤業眾信</t>
        </is>
      </c>
      <c r="D80" s="11" t="inlineStr">
        <is>
          <t>洪玉美</t>
        </is>
      </c>
      <c r="E80" s="10" t="inlineStr">
        <is>
          <t>台北總所</t>
        </is>
      </c>
      <c r="F80" s="12" t="inlineStr">
        <is>
          <t>台北市信義區松仁路100號20樓</t>
        </is>
      </c>
      <c r="G80" s="12" t="inlineStr">
        <is>
          <t>台北市信義區松仁路100號20樓</t>
        </is>
      </c>
      <c r="H80" s="12" t="inlineStr"/>
      <c r="I80" s="10" t="inlineStr"/>
      <c r="J80" s="11" t="inlineStr"/>
      <c r="K80" s="10" t="inlineStr">
        <is>
          <t>北市</t>
        </is>
      </c>
      <c r="L80" s="10" t="inlineStr">
        <is>
          <t>093/11/17</t>
        </is>
      </c>
      <c r="M80" s="10" t="inlineStr">
        <is>
          <t>2694</t>
        </is>
      </c>
      <c r="N80" s="10" t="inlineStr">
        <is>
          <t>2026-06-05</t>
        </is>
      </c>
      <c r="O80" s="11" t="inlineStr">
        <is>
          <t>https://www.roccpa.org.tw/member_search/more?id=ADB36CAB-B3A7-4FF8-A7C1-DA9F415AA21D</t>
        </is>
      </c>
    </row>
    <row r="81">
      <c r="A81" s="10" t="n">
        <v>80</v>
      </c>
      <c r="B81" s="11" t="inlineStr">
        <is>
          <t>勤業眾信聯合會計師事務所</t>
        </is>
      </c>
      <c r="C81" s="11" t="inlineStr">
        <is>
          <t>Deloitte 勤業眾信</t>
        </is>
      </c>
      <c r="D81" s="11" t="inlineStr">
        <is>
          <t>王儀雯</t>
        </is>
      </c>
      <c r="E81" s="10" t="inlineStr">
        <is>
          <t>台北總所</t>
        </is>
      </c>
      <c r="F81" s="12" t="inlineStr">
        <is>
          <t>台北市信義區松仁路100號20樓</t>
        </is>
      </c>
      <c r="G81" s="12" t="inlineStr">
        <is>
          <t>台北市信義區松仁路100號20樓</t>
        </is>
      </c>
      <c r="H81" s="12" t="inlineStr"/>
      <c r="I81" s="10" t="inlineStr">
        <is>
          <t>098/05/27</t>
        </is>
      </c>
      <c r="J81" s="11" t="inlineStr">
        <is>
          <t>全聯會一字第09800196</t>
        </is>
      </c>
      <c r="K81" s="10" t="inlineStr">
        <is>
          <t>北市</t>
        </is>
      </c>
      <c r="L81" s="10" t="inlineStr">
        <is>
          <t>098/06/11</t>
        </is>
      </c>
      <c r="M81" s="10" t="inlineStr">
        <is>
          <t>3126</t>
        </is>
      </c>
      <c r="N81" s="10" t="inlineStr">
        <is>
          <t>2026-06-05</t>
        </is>
      </c>
      <c r="O81" s="11" t="inlineStr">
        <is>
          <t>https://www.roccpa.org.tw/member_search/more?id=6B510B3E-3F6E-42B9-8CB3-2695E67727DA</t>
        </is>
      </c>
    </row>
    <row r="82">
      <c r="A82" s="10" t="n">
        <v>81</v>
      </c>
      <c r="B82" s="11" t="inlineStr">
        <is>
          <t>勤業眾信聯合會計師事務所</t>
        </is>
      </c>
      <c r="C82" s="11" t="inlineStr">
        <is>
          <t>Deloitte 勤業眾信</t>
        </is>
      </c>
      <c r="D82" s="11" t="inlineStr">
        <is>
          <t>王攀發</t>
        </is>
      </c>
      <c r="E82" s="10" t="inlineStr">
        <is>
          <t>台北總所</t>
        </is>
      </c>
      <c r="F82" s="12" t="inlineStr">
        <is>
          <t>台北市信義區松仁路100號20樓</t>
        </is>
      </c>
      <c r="G82" s="12" t="inlineStr">
        <is>
          <t>台北市信義區松仁路100號20樓</t>
        </is>
      </c>
      <c r="H82" s="12" t="inlineStr"/>
      <c r="I82" s="10" t="inlineStr">
        <is>
          <t>110/06/09</t>
        </is>
      </c>
      <c r="J82" s="11" t="inlineStr">
        <is>
          <t>全聯會一字第1100222</t>
        </is>
      </c>
      <c r="K82" s="10" t="inlineStr">
        <is>
          <t>北市</t>
        </is>
      </c>
      <c r="L82" s="10" t="inlineStr">
        <is>
          <t>110/06/09</t>
        </is>
      </c>
      <c r="M82" s="10" t="inlineStr">
        <is>
          <t>4327</t>
        </is>
      </c>
      <c r="N82" s="10" t="inlineStr">
        <is>
          <t>2026-06-05</t>
        </is>
      </c>
      <c r="O82" s="11" t="inlineStr">
        <is>
          <t>https://www.roccpa.org.tw/member_search/more?id=E0DF0B17-CBC5-4D66-B2D3-A589CC5C0FC9</t>
        </is>
      </c>
    </row>
    <row r="83">
      <c r="A83" s="10" t="n">
        <v>82</v>
      </c>
      <c r="B83" s="11" t="inlineStr">
        <is>
          <t>勤業眾信聯合會計師事務所</t>
        </is>
      </c>
      <c r="C83" s="11" t="inlineStr">
        <is>
          <t>Deloitte 勤業眾信</t>
        </is>
      </c>
      <c r="D83" s="11" t="inlineStr">
        <is>
          <t>王曉琪</t>
        </is>
      </c>
      <c r="E83" s="10" t="inlineStr">
        <is>
          <t>台北總所</t>
        </is>
      </c>
      <c r="F83" s="12" t="inlineStr">
        <is>
          <t>台北市信義區松仁路100號20樓</t>
        </is>
      </c>
      <c r="G83" s="12" t="inlineStr">
        <is>
          <t>台北市信義區松仁路100號20樓</t>
        </is>
      </c>
      <c r="H83" s="12" t="inlineStr"/>
      <c r="I83" s="10" t="inlineStr">
        <is>
          <t>100/01/26</t>
        </is>
      </c>
      <c r="J83" s="11" t="inlineStr">
        <is>
          <t>全聯會一字第1000031</t>
        </is>
      </c>
      <c r="K83" s="10" t="inlineStr">
        <is>
          <t>北市</t>
        </is>
      </c>
      <c r="L83" s="10" t="inlineStr">
        <is>
          <t>100/03/08</t>
        </is>
      </c>
      <c r="M83" s="10" t="inlineStr">
        <is>
          <t>3322</t>
        </is>
      </c>
      <c r="N83" s="10" t="inlineStr">
        <is>
          <t>2026-06-05</t>
        </is>
      </c>
      <c r="O83" s="11" t="inlineStr">
        <is>
          <t>https://www.roccpa.org.tw/member_search/more?id=EF810AA3-1461-49EE-94B0-91EBD085E7CD</t>
        </is>
      </c>
    </row>
    <row r="84">
      <c r="A84" s="10" t="n">
        <v>83</v>
      </c>
      <c r="B84" s="11" t="inlineStr">
        <is>
          <t>勤業眾信聯合會計師事務所</t>
        </is>
      </c>
      <c r="C84" s="11" t="inlineStr">
        <is>
          <t>Deloitte 勤業眾信</t>
        </is>
      </c>
      <c r="D84" s="11" t="inlineStr">
        <is>
          <t>王浚宇</t>
        </is>
      </c>
      <c r="E84" s="10" t="inlineStr">
        <is>
          <t>台北總所</t>
        </is>
      </c>
      <c r="F84" s="12" t="inlineStr">
        <is>
          <t>台北市信義區松仁路100號20樓</t>
        </is>
      </c>
      <c r="G84" s="12" t="inlineStr">
        <is>
          <t>台北市信義區松仁路100號20樓</t>
        </is>
      </c>
      <c r="H84" s="12" t="inlineStr"/>
      <c r="I84" s="10" t="inlineStr">
        <is>
          <t>112/06/08</t>
        </is>
      </c>
      <c r="J84" s="11" t="inlineStr">
        <is>
          <t>全聯會一字第1120222</t>
        </is>
      </c>
      <c r="K84" s="10" t="inlineStr">
        <is>
          <t>北市</t>
        </is>
      </c>
      <c r="L84" s="10" t="inlineStr">
        <is>
          <t>112/06/08</t>
        </is>
      </c>
      <c r="M84" s="10" t="inlineStr">
        <is>
          <t>4528</t>
        </is>
      </c>
      <c r="N84" s="10" t="inlineStr">
        <is>
          <t>2026-06-05</t>
        </is>
      </c>
      <c r="O84" s="11" t="inlineStr">
        <is>
          <t>https://www.roccpa.org.tw/member_search/more?id=30388139-685D-4449-ADDF-ACD29862A8FE</t>
        </is>
      </c>
    </row>
    <row r="85">
      <c r="A85" s="10" t="n">
        <v>84</v>
      </c>
      <c r="B85" s="11" t="inlineStr">
        <is>
          <t>勤業眾信聯合會計師事務所</t>
        </is>
      </c>
      <c r="C85" s="11" t="inlineStr">
        <is>
          <t>Deloitte 勤業眾信</t>
        </is>
      </c>
      <c r="D85" s="11" t="inlineStr">
        <is>
          <t>王珮眞</t>
        </is>
      </c>
      <c r="E85" s="10" t="inlineStr">
        <is>
          <t>台北總所</t>
        </is>
      </c>
      <c r="F85" s="12" t="inlineStr">
        <is>
          <t>台北市信義區松仁路100號20樓</t>
        </is>
      </c>
      <c r="G85" s="12" t="inlineStr">
        <is>
          <t>台北市信義區松仁路100號20樓</t>
        </is>
      </c>
      <c r="H85" s="12" t="inlineStr"/>
      <c r="I85" s="10" t="inlineStr">
        <is>
          <t>113/06/19</t>
        </is>
      </c>
      <c r="J85" s="11" t="inlineStr">
        <is>
          <t>全聯會一字第1130000286號</t>
        </is>
      </c>
      <c r="K85" s="10" t="inlineStr">
        <is>
          <t>北市</t>
        </is>
      </c>
      <c r="L85" s="10" t="inlineStr">
        <is>
          <t>113/06/19</t>
        </is>
      </c>
      <c r="M85" s="10" t="inlineStr">
        <is>
          <t>4643</t>
        </is>
      </c>
      <c r="N85" s="10" t="inlineStr">
        <is>
          <t>2026-06-05</t>
        </is>
      </c>
      <c r="O85" s="11" t="inlineStr">
        <is>
          <t>https://www.roccpa.org.tw/member_search/more?id=740A426E-EDC4-4D76-ACF0-031A4460EA6A</t>
        </is>
      </c>
    </row>
    <row r="86">
      <c r="A86" s="10" t="n">
        <v>85</v>
      </c>
      <c r="B86" s="11" t="inlineStr">
        <is>
          <t>勤業眾信聯合會計師事務所</t>
        </is>
      </c>
      <c r="C86" s="11" t="inlineStr">
        <is>
          <t>Deloitte 勤業眾信</t>
        </is>
      </c>
      <c r="D86" s="11" t="inlineStr">
        <is>
          <t>王瑞鴻</t>
        </is>
      </c>
      <c r="E86" s="10" t="inlineStr">
        <is>
          <t>台北總所</t>
        </is>
      </c>
      <c r="F86" s="12" t="inlineStr">
        <is>
          <t>台北市信義區松仁路100號20樓</t>
        </is>
      </c>
      <c r="G86" s="12" t="inlineStr">
        <is>
          <t>台北市信義區松仁路100號20樓</t>
        </is>
      </c>
      <c r="H86" s="12" t="inlineStr"/>
      <c r="I86" s="10" t="inlineStr">
        <is>
          <t>109/06/10</t>
        </is>
      </c>
      <c r="J86" s="11" t="inlineStr">
        <is>
          <t>全聯會一字第1090222</t>
        </is>
      </c>
      <c r="K86" s="10" t="inlineStr">
        <is>
          <t>北市</t>
        </is>
      </c>
      <c r="L86" s="10" t="inlineStr">
        <is>
          <t>109/06/10</t>
        </is>
      </c>
      <c r="M86" s="10" t="inlineStr">
        <is>
          <t>4261</t>
        </is>
      </c>
      <c r="N86" s="10" t="inlineStr">
        <is>
          <t>2026-06-05</t>
        </is>
      </c>
      <c r="O86" s="11" t="inlineStr">
        <is>
          <t>https://www.roccpa.org.tw/member_search/more?id=EFCCD50F-0013-4233-8C39-5F629CB0E77B</t>
        </is>
      </c>
    </row>
    <row r="87">
      <c r="A87" s="10" t="n">
        <v>86</v>
      </c>
      <c r="B87" s="11" t="inlineStr">
        <is>
          <t>勤業眾信聯合會計師事務所</t>
        </is>
      </c>
      <c r="C87" s="11" t="inlineStr">
        <is>
          <t>Deloitte 勤業眾信</t>
        </is>
      </c>
      <c r="D87" s="11" t="inlineStr">
        <is>
          <t>王翔民</t>
        </is>
      </c>
      <c r="E87" s="10" t="inlineStr">
        <is>
          <t>台北總所</t>
        </is>
      </c>
      <c r="F87" s="12" t="inlineStr">
        <is>
          <t>台北市信義區松仁路100號20樓</t>
        </is>
      </c>
      <c r="G87" s="12" t="inlineStr">
        <is>
          <t>台北市信義區松仁路100號20樓</t>
        </is>
      </c>
      <c r="H87" s="12" t="inlineStr"/>
      <c r="I87" s="10" t="inlineStr">
        <is>
          <t>111/06/10</t>
        </is>
      </c>
      <c r="J87" s="11" t="inlineStr">
        <is>
          <t>全聯會一字第1110219</t>
        </is>
      </c>
      <c r="K87" s="10" t="inlineStr">
        <is>
          <t>北市</t>
        </is>
      </c>
      <c r="L87" s="10" t="inlineStr">
        <is>
          <t>111/06/10</t>
        </is>
      </c>
      <c r="M87" s="10" t="inlineStr">
        <is>
          <t>4431</t>
        </is>
      </c>
      <c r="N87" s="10" t="inlineStr">
        <is>
          <t>2026-06-05</t>
        </is>
      </c>
      <c r="O87" s="11" t="inlineStr">
        <is>
          <t>https://www.roccpa.org.tw/member_search/more?id=216AB664-1B0A-4180-9A18-809A8FC90A5F</t>
        </is>
      </c>
    </row>
    <row r="88">
      <c r="A88" s="10" t="n">
        <v>87</v>
      </c>
      <c r="B88" s="11" t="inlineStr">
        <is>
          <t>勤業眾信聯合會計師事務所</t>
        </is>
      </c>
      <c r="C88" s="11" t="inlineStr">
        <is>
          <t>Deloitte 勤業眾信</t>
        </is>
      </c>
      <c r="D88" s="11" t="inlineStr">
        <is>
          <t>簡嘉宏</t>
        </is>
      </c>
      <c r="E88" s="10" t="inlineStr">
        <is>
          <t>台北總所</t>
        </is>
      </c>
      <c r="F88" s="12" t="inlineStr">
        <is>
          <t>台北市信義區松仁路100號20樓</t>
        </is>
      </c>
      <c r="G88" s="12" t="inlineStr">
        <is>
          <t>台北市信義區松仁路100號20樓</t>
        </is>
      </c>
      <c r="H88" s="12" t="inlineStr"/>
      <c r="I88" s="10" t="inlineStr">
        <is>
          <t>115/06/15</t>
        </is>
      </c>
      <c r="J88" s="11" t="inlineStr">
        <is>
          <t>全聯會一字第1150000294號</t>
        </is>
      </c>
      <c r="K88" s="10" t="inlineStr">
        <is>
          <t>北市</t>
        </is>
      </c>
      <c r="L88" s="10" t="inlineStr">
        <is>
          <t>115/06/15</t>
        </is>
      </c>
      <c r="M88" s="10" t="inlineStr">
        <is>
          <t>4902</t>
        </is>
      </c>
      <c r="N88" s="10" t="inlineStr">
        <is>
          <t>2026-06-23</t>
        </is>
      </c>
      <c r="O88" s="11" t="inlineStr">
        <is>
          <t>https://www.roccpa.org.tw/member_search/more?id=28efaa67395b4518ba7fc27fb89f5503</t>
        </is>
      </c>
    </row>
    <row r="89">
      <c r="A89" s="10" t="n">
        <v>88</v>
      </c>
      <c r="B89" s="11" t="inlineStr">
        <is>
          <t>勤業眾信聯合會計師事務所</t>
        </is>
      </c>
      <c r="C89" s="11" t="inlineStr">
        <is>
          <t>Deloitte 勤業眾信</t>
        </is>
      </c>
      <c r="D89" s="11" t="inlineStr">
        <is>
          <t>簡明彥</t>
        </is>
      </c>
      <c r="E89" s="10" t="inlineStr">
        <is>
          <t>台北總所</t>
        </is>
      </c>
      <c r="F89" s="12" t="inlineStr">
        <is>
          <t>台北市信義區松仁路100號20樓</t>
        </is>
      </c>
      <c r="G89" s="12" t="inlineStr">
        <is>
          <t>台北市信義區松仁路100號20樓</t>
        </is>
      </c>
      <c r="H89" s="12" t="inlineStr"/>
      <c r="I89" s="10" t="inlineStr">
        <is>
          <t>100/05/25</t>
        </is>
      </c>
      <c r="J89" s="11" t="inlineStr">
        <is>
          <t>全聯會一字第1000211</t>
        </is>
      </c>
      <c r="K89" s="10" t="inlineStr">
        <is>
          <t>北市</t>
        </is>
      </c>
      <c r="L89" s="10" t="inlineStr">
        <is>
          <t>100/06/07</t>
        </is>
      </c>
      <c r="M89" s="10" t="inlineStr">
        <is>
          <t>3358</t>
        </is>
      </c>
      <c r="N89" s="10" t="inlineStr">
        <is>
          <t>2026-06-05</t>
        </is>
      </c>
      <c r="O89" s="11" t="inlineStr">
        <is>
          <t>https://www.roccpa.org.tw/member_search/more?id=E12B970D-F3F1-4444-BB78-DC2CCEB91CC0</t>
        </is>
      </c>
    </row>
    <row r="90">
      <c r="A90" s="10" t="n">
        <v>89</v>
      </c>
      <c r="B90" s="11" t="inlineStr">
        <is>
          <t>勤業眾信聯合會計師事務所</t>
        </is>
      </c>
      <c r="C90" s="11" t="inlineStr">
        <is>
          <t>Deloitte 勤業眾信</t>
        </is>
      </c>
      <c r="D90" s="11" t="inlineStr">
        <is>
          <t>翁博仁</t>
        </is>
      </c>
      <c r="E90" s="10" t="inlineStr">
        <is>
          <t>台北總所</t>
        </is>
      </c>
      <c r="F90" s="12" t="inlineStr">
        <is>
          <t>台北市信義區松仁路100號20樓</t>
        </is>
      </c>
      <c r="G90" s="12" t="inlineStr">
        <is>
          <t>台北市信義區松仁路100號20樓</t>
        </is>
      </c>
      <c r="H90" s="12" t="inlineStr"/>
      <c r="I90" s="10" t="inlineStr">
        <is>
          <t>101/06/04</t>
        </is>
      </c>
      <c r="J90" s="11" t="inlineStr">
        <is>
          <t>全聯會一字第1010174</t>
        </is>
      </c>
      <c r="K90" s="10" t="inlineStr">
        <is>
          <t>北市</t>
        </is>
      </c>
      <c r="L90" s="10" t="inlineStr">
        <is>
          <t>101/06/14</t>
        </is>
      </c>
      <c r="M90" s="10" t="inlineStr">
        <is>
          <t>3466</t>
        </is>
      </c>
      <c r="N90" s="10" t="inlineStr">
        <is>
          <t>2026-06-05</t>
        </is>
      </c>
      <c r="O90" s="11" t="inlineStr">
        <is>
          <t>https://www.roccpa.org.tw/member_search/more?id=3D4006ED-C989-4893-B61A-58473067256B</t>
        </is>
      </c>
    </row>
    <row r="91">
      <c r="A91" s="10" t="n">
        <v>90</v>
      </c>
      <c r="B91" s="11" t="inlineStr">
        <is>
          <t>勤業眾信聯合會計師事務所</t>
        </is>
      </c>
      <c r="C91" s="11" t="inlineStr">
        <is>
          <t>Deloitte 勤業眾信</t>
        </is>
      </c>
      <c r="D91" s="11" t="inlineStr">
        <is>
          <t>翁雅玲</t>
        </is>
      </c>
      <c r="E91" s="10" t="inlineStr">
        <is>
          <t>台北總所</t>
        </is>
      </c>
      <c r="F91" s="12" t="inlineStr">
        <is>
          <t>台北市信義區松仁路100號20樓</t>
        </is>
      </c>
      <c r="G91" s="12" t="inlineStr">
        <is>
          <t>台北市信義區松仁路100號20樓</t>
        </is>
      </c>
      <c r="H91" s="12" t="inlineStr"/>
      <c r="I91" s="10" t="inlineStr">
        <is>
          <t>102/06/03</t>
        </is>
      </c>
      <c r="J91" s="11" t="inlineStr">
        <is>
          <t>全聯會一字第1020214</t>
        </is>
      </c>
      <c r="K91" s="10" t="inlineStr">
        <is>
          <t>北市</t>
        </is>
      </c>
      <c r="L91" s="10" t="inlineStr">
        <is>
          <t>102/06/19</t>
        </is>
      </c>
      <c r="M91" s="10" t="inlineStr">
        <is>
          <t>3590</t>
        </is>
      </c>
      <c r="N91" s="10" t="inlineStr">
        <is>
          <t>2026-06-05</t>
        </is>
      </c>
      <c r="O91" s="11" t="inlineStr">
        <is>
          <t>https://www.roccpa.org.tw/member_search/more?id=636CD3A8-D566-440B-ADE0-0CFB8D23261C</t>
        </is>
      </c>
    </row>
    <row r="92">
      <c r="A92" s="10" t="n">
        <v>91</v>
      </c>
      <c r="B92" s="11" t="inlineStr">
        <is>
          <t>勤業眾信聯合會計師事務所</t>
        </is>
      </c>
      <c r="C92" s="11" t="inlineStr">
        <is>
          <t>Deloitte 勤業眾信</t>
        </is>
      </c>
      <c r="D92" s="11" t="inlineStr">
        <is>
          <t>胡家熀</t>
        </is>
      </c>
      <c r="E92" s="10" t="inlineStr">
        <is>
          <t>台北總所</t>
        </is>
      </c>
      <c r="F92" s="12" t="inlineStr">
        <is>
          <t>台北市信義區松仁路100號20樓</t>
        </is>
      </c>
      <c r="G92" s="12" t="inlineStr">
        <is>
          <t>台北市信義區松仁路100號20樓</t>
        </is>
      </c>
      <c r="H92" s="12" t="inlineStr"/>
      <c r="I92" s="10" t="inlineStr">
        <is>
          <t>114/06/18</t>
        </is>
      </c>
      <c r="J92" s="11" t="inlineStr">
        <is>
          <t>全聯會一字第1140000239號</t>
        </is>
      </c>
      <c r="K92" s="10" t="inlineStr">
        <is>
          <t>北市</t>
        </is>
      </c>
      <c r="L92" s="10" t="inlineStr">
        <is>
          <t>114/06/18</t>
        </is>
      </c>
      <c r="M92" s="10" t="inlineStr">
        <is>
          <t>4723</t>
        </is>
      </c>
      <c r="N92" s="10" t="inlineStr">
        <is>
          <t>2026-06-05</t>
        </is>
      </c>
      <c r="O92" s="11" t="inlineStr">
        <is>
          <t>https://www.roccpa.org.tw/member_search/more?id=73B27895-D369-4285-8339-45C487C59E00</t>
        </is>
      </c>
    </row>
    <row r="93">
      <c r="A93" s="10" t="n">
        <v>92</v>
      </c>
      <c r="B93" s="11" t="inlineStr">
        <is>
          <t>勤業眾信聯合會計師事務所</t>
        </is>
      </c>
      <c r="C93" s="11" t="inlineStr">
        <is>
          <t>Deloitte 勤業眾信</t>
        </is>
      </c>
      <c r="D93" s="11" t="inlineStr">
        <is>
          <t>胡雅如</t>
        </is>
      </c>
      <c r="E93" s="10" t="inlineStr">
        <is>
          <t>台北總所</t>
        </is>
      </c>
      <c r="F93" s="12" t="inlineStr">
        <is>
          <t>台北市信義區松仁路100號20樓</t>
        </is>
      </c>
      <c r="G93" s="12" t="inlineStr">
        <is>
          <t>台北市信義區松仁路100號20樓</t>
        </is>
      </c>
      <c r="H93" s="12" t="inlineStr"/>
      <c r="I93" s="10" t="inlineStr">
        <is>
          <t>113/06/19</t>
        </is>
      </c>
      <c r="J93" s="11" t="inlineStr">
        <is>
          <t>全聯會一字第1130000284號</t>
        </is>
      </c>
      <c r="K93" s="10" t="inlineStr">
        <is>
          <t>北市</t>
        </is>
      </c>
      <c r="L93" s="10" t="inlineStr">
        <is>
          <t>113/06/19</t>
        </is>
      </c>
      <c r="M93" s="10" t="inlineStr">
        <is>
          <t>4641</t>
        </is>
      </c>
      <c r="N93" s="10" t="inlineStr">
        <is>
          <t>2026-06-05</t>
        </is>
      </c>
      <c r="O93" s="11" t="inlineStr">
        <is>
          <t>https://www.roccpa.org.tw/member_search/more?id=92D6B11E-7969-4C5F-8824-399D60DFD96E</t>
        </is>
      </c>
    </row>
    <row r="94">
      <c r="A94" s="10" t="n">
        <v>93</v>
      </c>
      <c r="B94" s="11" t="inlineStr">
        <is>
          <t>勤業眾信聯合會計師事務所</t>
        </is>
      </c>
      <c r="C94" s="11" t="inlineStr">
        <is>
          <t>Deloitte 勤業眾信</t>
        </is>
      </c>
      <c r="D94" s="11" t="inlineStr">
        <is>
          <t>莊文源</t>
        </is>
      </c>
      <c r="E94" s="10" t="inlineStr">
        <is>
          <t>台北總所</t>
        </is>
      </c>
      <c r="F94" s="12" t="inlineStr">
        <is>
          <t>台北市信義區松仁路100號20樓</t>
        </is>
      </c>
      <c r="G94" s="12" t="inlineStr">
        <is>
          <t>台北市信義區松仁路100號20樓</t>
        </is>
      </c>
      <c r="H94" s="12" t="inlineStr"/>
      <c r="I94" s="10" t="inlineStr">
        <is>
          <t>109/06/10</t>
        </is>
      </c>
      <c r="J94" s="11" t="inlineStr">
        <is>
          <t>全聯會一字第1090219</t>
        </is>
      </c>
      <c r="K94" s="10" t="inlineStr">
        <is>
          <t>北市</t>
        </is>
      </c>
      <c r="L94" s="10" t="inlineStr">
        <is>
          <t>109/06/10</t>
        </is>
      </c>
      <c r="M94" s="10" t="inlineStr">
        <is>
          <t>4258</t>
        </is>
      </c>
      <c r="N94" s="10" t="inlineStr">
        <is>
          <t>2026-06-05</t>
        </is>
      </c>
      <c r="O94" s="11" t="inlineStr">
        <is>
          <t>https://www.roccpa.org.tw/member_search/more?id=0A6AE879-C6EE-487B-B00A-57BBBF658692</t>
        </is>
      </c>
    </row>
    <row r="95">
      <c r="A95" s="10" t="n">
        <v>94</v>
      </c>
      <c r="B95" s="11" t="inlineStr">
        <is>
          <t>勤業眾信聯合會計師事務所</t>
        </is>
      </c>
      <c r="C95" s="11" t="inlineStr">
        <is>
          <t>Deloitte 勤業眾信</t>
        </is>
      </c>
      <c r="D95" s="11" t="inlineStr">
        <is>
          <t>莊業偉</t>
        </is>
      </c>
      <c r="E95" s="10" t="inlineStr">
        <is>
          <t>台北總所</t>
        </is>
      </c>
      <c r="F95" s="12" t="inlineStr">
        <is>
          <t>台北市信義區松仁路100號20樓</t>
        </is>
      </c>
      <c r="G95" s="12" t="inlineStr">
        <is>
          <t>台北市信義區松仁路100號20樓</t>
        </is>
      </c>
      <c r="H95" s="12" t="inlineStr"/>
      <c r="I95" s="10" t="inlineStr">
        <is>
          <t>114/06/18</t>
        </is>
      </c>
      <c r="J95" s="11" t="inlineStr">
        <is>
          <t>全聯會一字第1140000242號</t>
        </is>
      </c>
      <c r="K95" s="10" t="inlineStr">
        <is>
          <t>北市</t>
        </is>
      </c>
      <c r="L95" s="10" t="inlineStr">
        <is>
          <t>114/06/18</t>
        </is>
      </c>
      <c r="M95" s="10" t="inlineStr">
        <is>
          <t>4726</t>
        </is>
      </c>
      <c r="N95" s="10" t="inlineStr">
        <is>
          <t>2026-06-05</t>
        </is>
      </c>
      <c r="O95" s="11" t="inlineStr">
        <is>
          <t>https://www.roccpa.org.tw/member_search/more?id=C62F5ED0-69A2-405E-9D65-7FBC646DA2DB</t>
        </is>
      </c>
    </row>
    <row r="96">
      <c r="A96" s="10" t="n">
        <v>95</v>
      </c>
      <c r="B96" s="11" t="inlineStr">
        <is>
          <t>勤業眾信聯合會計師事務所</t>
        </is>
      </c>
      <c r="C96" s="11" t="inlineStr">
        <is>
          <t>Deloitte 勤業眾信</t>
        </is>
      </c>
      <c r="D96" s="11" t="inlineStr">
        <is>
          <t>莊瑜敏</t>
        </is>
      </c>
      <c r="E96" s="10" t="inlineStr">
        <is>
          <t>台北總所</t>
        </is>
      </c>
      <c r="F96" s="12" t="inlineStr">
        <is>
          <t>台北市信義區松仁路100號20樓</t>
        </is>
      </c>
      <c r="G96" s="12" t="inlineStr">
        <is>
          <t>台北市信義區松仁路100號20樓</t>
        </is>
      </c>
      <c r="H96" s="12" t="inlineStr"/>
      <c r="I96" s="10" t="inlineStr">
        <is>
          <t>098/05/27</t>
        </is>
      </c>
      <c r="J96" s="11" t="inlineStr">
        <is>
          <t>全聯會一字第09800199</t>
        </is>
      </c>
      <c r="K96" s="10" t="inlineStr">
        <is>
          <t>北市</t>
        </is>
      </c>
      <c r="L96" s="10" t="inlineStr">
        <is>
          <t>098/06/11</t>
        </is>
      </c>
      <c r="M96" s="10" t="inlineStr">
        <is>
          <t>3125</t>
        </is>
      </c>
      <c r="N96" s="10" t="inlineStr">
        <is>
          <t>2026-06-05</t>
        </is>
      </c>
      <c r="O96" s="11" t="inlineStr">
        <is>
          <t>https://www.roccpa.org.tw/member_search/more?id=EA87F0E5-99F2-4A20-8188-B9E9220B68DC</t>
        </is>
      </c>
    </row>
    <row r="97">
      <c r="A97" s="10" t="n">
        <v>96</v>
      </c>
      <c r="B97" s="11" t="inlineStr">
        <is>
          <t>勤業眾信聯合會計師事務所</t>
        </is>
      </c>
      <c r="C97" s="11" t="inlineStr">
        <is>
          <t>Deloitte 勤業眾信</t>
        </is>
      </c>
      <c r="D97" s="11" t="inlineStr">
        <is>
          <t>莊碧玉</t>
        </is>
      </c>
      <c r="E97" s="10" t="inlineStr">
        <is>
          <t>台北總所</t>
        </is>
      </c>
      <c r="F97" s="12" t="inlineStr">
        <is>
          <t>台北市信義區松仁路100號20樓</t>
        </is>
      </c>
      <c r="G97" s="12" t="inlineStr">
        <is>
          <t>台北市信義區松仁路100號20樓</t>
        </is>
      </c>
      <c r="H97" s="12" t="inlineStr"/>
      <c r="I97" s="10" t="inlineStr">
        <is>
          <t>107/06/04</t>
        </is>
      </c>
      <c r="J97" s="11" t="inlineStr">
        <is>
          <t>全聯會一字第1070245</t>
        </is>
      </c>
      <c r="K97" s="10" t="inlineStr">
        <is>
          <t>北市</t>
        </is>
      </c>
      <c r="L97" s="10" t="inlineStr">
        <is>
          <t>107/06/04</t>
        </is>
      </c>
      <c r="M97" s="10" t="inlineStr">
        <is>
          <t>4104</t>
        </is>
      </c>
      <c r="N97" s="10" t="inlineStr">
        <is>
          <t>2026-06-05</t>
        </is>
      </c>
      <c r="O97" s="11" t="inlineStr">
        <is>
          <t>https://www.roccpa.org.tw/member_search/more?id=E7D51CC0-6B28-4D70-9BF3-A1D39551D922</t>
        </is>
      </c>
    </row>
    <row r="98">
      <c r="A98" s="10" t="n">
        <v>97</v>
      </c>
      <c r="B98" s="11" t="inlineStr">
        <is>
          <t>勤業眾信聯合會計師事務所</t>
        </is>
      </c>
      <c r="C98" s="11" t="inlineStr">
        <is>
          <t>Deloitte 勤業眾信</t>
        </is>
      </c>
      <c r="D98" s="11" t="inlineStr">
        <is>
          <t>葉志賢</t>
        </is>
      </c>
      <c r="E98" s="10" t="inlineStr">
        <is>
          <t>台北總所</t>
        </is>
      </c>
      <c r="F98" s="12" t="inlineStr">
        <is>
          <t>台北市信義區松仁路100號20樓</t>
        </is>
      </c>
      <c r="G98" s="12" t="inlineStr">
        <is>
          <t>台北市信義區松仁路100號20樓</t>
        </is>
      </c>
      <c r="H98" s="12" t="inlineStr"/>
      <c r="I98" s="10" t="inlineStr">
        <is>
          <t>115/06/15</t>
        </is>
      </c>
      <c r="J98" s="11" t="inlineStr">
        <is>
          <t>全聯會一字第1150000295號</t>
        </is>
      </c>
      <c r="K98" s="10" t="inlineStr">
        <is>
          <t>北市</t>
        </is>
      </c>
      <c r="L98" s="10" t="inlineStr">
        <is>
          <t>115/06/15</t>
        </is>
      </c>
      <c r="M98" s="10" t="inlineStr">
        <is>
          <t>5405</t>
        </is>
      </c>
      <c r="N98" s="10" t="inlineStr">
        <is>
          <t>2026-06-23</t>
        </is>
      </c>
      <c r="O98" s="11" t="inlineStr">
        <is>
          <t>https://www.roccpa.org.tw/member_search/more?id=b582cd8649a64abe94b12254dd374c6a</t>
        </is>
      </c>
    </row>
    <row r="99">
      <c r="A99" s="10" t="n">
        <v>98</v>
      </c>
      <c r="B99" s="11" t="inlineStr">
        <is>
          <t>勤業眾信聯合會計師事務所</t>
        </is>
      </c>
      <c r="C99" s="11" t="inlineStr">
        <is>
          <t>Deloitte 勤業眾信</t>
        </is>
      </c>
      <c r="D99" s="11" t="inlineStr">
        <is>
          <t>葉淑娟</t>
        </is>
      </c>
      <c r="E99" s="10" t="inlineStr">
        <is>
          <t>台北總所</t>
        </is>
      </c>
      <c r="F99" s="12" t="inlineStr">
        <is>
          <t>台北市信義區松仁路100號20樓</t>
        </is>
      </c>
      <c r="G99" s="12" t="inlineStr">
        <is>
          <t>台北市信義區松仁路100號20樓</t>
        </is>
      </c>
      <c r="H99" s="12" t="inlineStr"/>
      <c r="I99" s="10" t="inlineStr">
        <is>
          <t>099/05/25</t>
        </is>
      </c>
      <c r="J99" s="11" t="inlineStr">
        <is>
          <t>全聯會一字第09900255</t>
        </is>
      </c>
      <c r="K99" s="10" t="inlineStr">
        <is>
          <t>北市</t>
        </is>
      </c>
      <c r="L99" s="10" t="inlineStr">
        <is>
          <t>099/06/04</t>
        </is>
      </c>
      <c r="M99" s="10" t="inlineStr">
        <is>
          <t>3230</t>
        </is>
      </c>
      <c r="N99" s="10" t="inlineStr">
        <is>
          <t>2026-06-05</t>
        </is>
      </c>
      <c r="O99" s="11" t="inlineStr">
        <is>
          <t>https://www.roccpa.org.tw/member_search/more?id=63D09724-6C7A-4177-93BE-65CA61BCBCB4</t>
        </is>
      </c>
    </row>
    <row r="100">
      <c r="A100" s="10" t="n">
        <v>99</v>
      </c>
      <c r="B100" s="11" t="inlineStr">
        <is>
          <t>勤業眾信聯合會計師事務所</t>
        </is>
      </c>
      <c r="C100" s="11" t="inlineStr">
        <is>
          <t>Deloitte 勤業眾信</t>
        </is>
      </c>
      <c r="D100" s="11" t="inlineStr">
        <is>
          <t>蔡侑玲</t>
        </is>
      </c>
      <c r="E100" s="10" t="inlineStr">
        <is>
          <t>台北總所</t>
        </is>
      </c>
      <c r="F100" s="12" t="inlineStr">
        <is>
          <t>台北市信義區松仁路100號20樓</t>
        </is>
      </c>
      <c r="G100" s="12" t="inlineStr">
        <is>
          <t>台北市信義區松仁路100號20樓</t>
        </is>
      </c>
      <c r="H100" s="12" t="inlineStr"/>
      <c r="I100" s="10" t="inlineStr">
        <is>
          <t>110/06/09</t>
        </is>
      </c>
      <c r="J100" s="11" t="inlineStr">
        <is>
          <t>全聯會一字第1100226</t>
        </is>
      </c>
      <c r="K100" s="10" t="inlineStr">
        <is>
          <t>北市</t>
        </is>
      </c>
      <c r="L100" s="10" t="inlineStr">
        <is>
          <t>110/06/09</t>
        </is>
      </c>
      <c r="M100" s="10" t="inlineStr">
        <is>
          <t>4331</t>
        </is>
      </c>
      <c r="N100" s="10" t="inlineStr">
        <is>
          <t>2026-06-05</t>
        </is>
      </c>
      <c r="O100" s="11" t="inlineStr">
        <is>
          <t>https://www.roccpa.org.tw/member_search/more?id=F6076B71-16C1-4AFE-9440-B23CA46D8DE8</t>
        </is>
      </c>
    </row>
    <row r="101">
      <c r="A101" s="10" t="n">
        <v>100</v>
      </c>
      <c r="B101" s="11" t="inlineStr">
        <is>
          <t>勤業眾信聯合會計師事務所</t>
        </is>
      </c>
      <c r="C101" s="11" t="inlineStr">
        <is>
          <t>Deloitte 勤業眾信</t>
        </is>
      </c>
      <c r="D101" s="11" t="inlineStr">
        <is>
          <t>蔡宗遠</t>
        </is>
      </c>
      <c r="E101" s="10" t="inlineStr">
        <is>
          <t>台北總所</t>
        </is>
      </c>
      <c r="F101" s="12" t="inlineStr">
        <is>
          <t>台北市信義區松仁路100號20樓</t>
        </is>
      </c>
      <c r="G101" s="12" t="inlineStr">
        <is>
          <t>台北市信義區松仁路100號20樓</t>
        </is>
      </c>
      <c r="H101" s="12" t="inlineStr"/>
      <c r="I101" s="10" t="inlineStr">
        <is>
          <t>113/06/19</t>
        </is>
      </c>
      <c r="J101" s="11" t="inlineStr">
        <is>
          <t>全聯會一字第1130000281號</t>
        </is>
      </c>
      <c r="K101" s="10" t="inlineStr">
        <is>
          <t>北市</t>
        </is>
      </c>
      <c r="L101" s="10" t="inlineStr">
        <is>
          <t>113/06/19</t>
        </is>
      </c>
      <c r="M101" s="10" t="inlineStr">
        <is>
          <t>4638</t>
        </is>
      </c>
      <c r="N101" s="10" t="inlineStr">
        <is>
          <t>2026-06-05</t>
        </is>
      </c>
      <c r="O101" s="11" t="inlineStr">
        <is>
          <t>https://www.roccpa.org.tw/member_search/more?id=6921A4A5-5B96-4570-8F26-60CFBC344AEA</t>
        </is>
      </c>
    </row>
    <row r="102">
      <c r="A102" s="10" t="n">
        <v>101</v>
      </c>
      <c r="B102" s="11" t="inlineStr">
        <is>
          <t>勤業眾信聯合會計師事務所</t>
        </is>
      </c>
      <c r="C102" s="11" t="inlineStr">
        <is>
          <t>Deloitte 勤業眾信</t>
        </is>
      </c>
      <c r="D102" s="11" t="inlineStr">
        <is>
          <t>蔡沛成</t>
        </is>
      </c>
      <c r="E102" s="10" t="inlineStr">
        <is>
          <t>台北總所</t>
        </is>
      </c>
      <c r="F102" s="12" t="inlineStr">
        <is>
          <t>台北市信義區松仁路100號20樓</t>
        </is>
      </c>
      <c r="G102" s="12" t="inlineStr">
        <is>
          <t>台北市信義區松仁路100號20樓</t>
        </is>
      </c>
      <c r="H102" s="12" t="inlineStr"/>
      <c r="I102" s="10" t="inlineStr">
        <is>
          <t>115/04/13</t>
        </is>
      </c>
      <c r="J102" s="11" t="inlineStr">
        <is>
          <t>全聯會一字第1150000189號</t>
        </is>
      </c>
      <c r="K102" s="10" t="inlineStr">
        <is>
          <t>北市</t>
        </is>
      </c>
      <c r="L102" s="10" t="inlineStr">
        <is>
          <t>115/04/13</t>
        </is>
      </c>
      <c r="M102" s="10" t="inlineStr">
        <is>
          <t>4882</t>
        </is>
      </c>
      <c r="N102" s="10" t="inlineStr">
        <is>
          <t>2026-06-05</t>
        </is>
      </c>
      <c r="O102" s="11" t="inlineStr">
        <is>
          <t>https://www.roccpa.org.tw/member_search/more?id=6AC6ECFB-AC12-48AD-9031-9B05C2E119E5</t>
        </is>
      </c>
    </row>
    <row r="103">
      <c r="A103" s="10" t="n">
        <v>102</v>
      </c>
      <c r="B103" s="11" t="inlineStr">
        <is>
          <t>勤業眾信聯合會計師事務所</t>
        </is>
      </c>
      <c r="C103" s="11" t="inlineStr">
        <is>
          <t>Deloitte 勤業眾信</t>
        </is>
      </c>
      <c r="D103" s="11" t="inlineStr">
        <is>
          <t>薛峻泯</t>
        </is>
      </c>
      <c r="E103" s="10" t="inlineStr">
        <is>
          <t>台北總所</t>
        </is>
      </c>
      <c r="F103" s="12" t="inlineStr">
        <is>
          <t>台北市信義區松仁路100號20樓</t>
        </is>
      </c>
      <c r="G103" s="12" t="inlineStr">
        <is>
          <t>台北市信義區松仁路100號20樓</t>
        </is>
      </c>
      <c r="H103" s="12" t="inlineStr"/>
      <c r="I103" s="10" t="inlineStr">
        <is>
          <t>105/06/01</t>
        </is>
      </c>
      <c r="J103" s="11" t="inlineStr">
        <is>
          <t>全聯會一字第1050249</t>
        </is>
      </c>
      <c r="K103" s="10" t="inlineStr">
        <is>
          <t>北市</t>
        </is>
      </c>
      <c r="L103" s="10" t="inlineStr">
        <is>
          <t>105/06/06</t>
        </is>
      </c>
      <c r="M103" s="10" t="inlineStr">
        <is>
          <t>3935</t>
        </is>
      </c>
      <c r="N103" s="10" t="inlineStr">
        <is>
          <t>2026-06-05</t>
        </is>
      </c>
      <c r="O103" s="11" t="inlineStr">
        <is>
          <t>https://www.roccpa.org.tw/member_search/more?id=B2F4BE25-8182-4847-9F4C-311442796B4A</t>
        </is>
      </c>
    </row>
    <row r="104">
      <c r="A104" s="10" t="n">
        <v>103</v>
      </c>
      <c r="B104" s="11" t="inlineStr">
        <is>
          <t>勤業眾信聯合會計師事務所</t>
        </is>
      </c>
      <c r="C104" s="11" t="inlineStr">
        <is>
          <t>Deloitte 勤業眾信</t>
        </is>
      </c>
      <c r="D104" s="11" t="inlineStr">
        <is>
          <t>蘇郁琇</t>
        </is>
      </c>
      <c r="E104" s="10" t="inlineStr">
        <is>
          <t>台北總所</t>
        </is>
      </c>
      <c r="F104" s="12" t="inlineStr">
        <is>
          <t>台北市信義區松仁路100號20樓</t>
        </is>
      </c>
      <c r="G104" s="12" t="inlineStr">
        <is>
          <t>台北市信義區松仁路100號20樓</t>
        </is>
      </c>
      <c r="H104" s="12" t="inlineStr"/>
      <c r="I104" s="10" t="inlineStr">
        <is>
          <t>104/06/01</t>
        </is>
      </c>
      <c r="J104" s="11" t="inlineStr">
        <is>
          <t>全聯會一字第1040175</t>
        </is>
      </c>
      <c r="K104" s="10" t="inlineStr">
        <is>
          <t>北市</t>
        </is>
      </c>
      <c r="L104" s="10" t="inlineStr">
        <is>
          <t>104/07/01</t>
        </is>
      </c>
      <c r="M104" s="10" t="inlineStr">
        <is>
          <t>3841</t>
        </is>
      </c>
      <c r="N104" s="10" t="inlineStr">
        <is>
          <t>2026-06-05</t>
        </is>
      </c>
      <c r="O104" s="11" t="inlineStr">
        <is>
          <t>https://www.roccpa.org.tw/member_search/more?id=536A1992-398B-457A-92D2-208123562E3F</t>
        </is>
      </c>
    </row>
    <row r="105">
      <c r="A105" s="10" t="n">
        <v>104</v>
      </c>
      <c r="B105" s="11" t="inlineStr">
        <is>
          <t>勤業眾信聯合會計師事務所</t>
        </is>
      </c>
      <c r="C105" s="11" t="inlineStr">
        <is>
          <t>Deloitte 勤業眾信</t>
        </is>
      </c>
      <c r="D105" s="11" t="inlineStr">
        <is>
          <t>虞成全</t>
        </is>
      </c>
      <c r="E105" s="10" t="inlineStr">
        <is>
          <t>台北總所</t>
        </is>
      </c>
      <c r="F105" s="12" t="inlineStr">
        <is>
          <t>台北市信義區松仁路100號20樓</t>
        </is>
      </c>
      <c r="G105" s="12" t="inlineStr">
        <is>
          <t>台北市信義區松仁路100號20樓</t>
        </is>
      </c>
      <c r="H105" s="12" t="inlineStr"/>
      <c r="I105" s="10" t="inlineStr"/>
      <c r="J105" s="11" t="inlineStr"/>
      <c r="K105" s="10" t="inlineStr">
        <is>
          <t>北市</t>
        </is>
      </c>
      <c r="L105" s="10" t="inlineStr">
        <is>
          <t>093/06/10</t>
        </is>
      </c>
      <c r="M105" s="10" t="inlineStr">
        <is>
          <t>2645</t>
        </is>
      </c>
      <c r="N105" s="10" t="inlineStr">
        <is>
          <t>2026-06-05</t>
        </is>
      </c>
      <c r="O105" s="11" t="inlineStr">
        <is>
          <t>https://www.roccpa.org.tw/member_search/more?id=6A83004B-CB4B-44C5-BBE3-F459B29E46B8</t>
        </is>
      </c>
    </row>
    <row r="106">
      <c r="A106" s="10" t="n">
        <v>105</v>
      </c>
      <c r="B106" s="11" t="inlineStr">
        <is>
          <t>勤業眾信聯合會計師事務所</t>
        </is>
      </c>
      <c r="C106" s="11" t="inlineStr">
        <is>
          <t>Deloitte 勤業眾信</t>
        </is>
      </c>
      <c r="D106" s="11" t="inlineStr">
        <is>
          <t>袁金蘭</t>
        </is>
      </c>
      <c r="E106" s="10" t="inlineStr">
        <is>
          <t>台北總所</t>
        </is>
      </c>
      <c r="F106" s="12" t="inlineStr">
        <is>
          <t>台北市信義區松仁路100號20樓</t>
        </is>
      </c>
      <c r="G106" s="12" t="inlineStr">
        <is>
          <t>台北市信義區松仁路100號20樓</t>
        </is>
      </c>
      <c r="H106" s="12" t="inlineStr"/>
      <c r="I106" s="10" t="inlineStr"/>
      <c r="J106" s="11" t="inlineStr"/>
      <c r="K106" s="10" t="inlineStr">
        <is>
          <t>北市</t>
        </is>
      </c>
      <c r="L106" s="10" t="inlineStr">
        <is>
          <t>086/02/18</t>
        </is>
      </c>
      <c r="M106" s="10" t="inlineStr">
        <is>
          <t>1901</t>
        </is>
      </c>
      <c r="N106" s="10" t="inlineStr">
        <is>
          <t>2026-06-05</t>
        </is>
      </c>
      <c r="O106" s="11" t="inlineStr">
        <is>
          <t>https://www.roccpa.org.tw/member_search/more?id=B6CDC3E5-E73C-4CA2-951D-13CAA8D50202</t>
        </is>
      </c>
    </row>
    <row r="107">
      <c r="A107" s="10" t="n">
        <v>106</v>
      </c>
      <c r="B107" s="11" t="inlineStr">
        <is>
          <t>勤業眾信聯合會計師事務所</t>
        </is>
      </c>
      <c r="C107" s="11" t="inlineStr">
        <is>
          <t>Deloitte 勤業眾信</t>
        </is>
      </c>
      <c r="D107" s="11" t="inlineStr">
        <is>
          <t>褚世蘭</t>
        </is>
      </c>
      <c r="E107" s="10" t="inlineStr">
        <is>
          <t>台北總所</t>
        </is>
      </c>
      <c r="F107" s="12" t="inlineStr">
        <is>
          <t>台北市信義區松仁路100號20樓</t>
        </is>
      </c>
      <c r="G107" s="12" t="inlineStr">
        <is>
          <t>台北市信義區松仁路100號20樓</t>
        </is>
      </c>
      <c r="H107" s="12" t="inlineStr"/>
      <c r="I107" s="10" t="inlineStr">
        <is>
          <t>112/06/08</t>
        </is>
      </c>
      <c r="J107" s="11" t="inlineStr">
        <is>
          <t>全聯會一字第1120223</t>
        </is>
      </c>
      <c r="K107" s="10" t="inlineStr">
        <is>
          <t>北市</t>
        </is>
      </c>
      <c r="L107" s="10" t="inlineStr">
        <is>
          <t>112/06/08</t>
        </is>
      </c>
      <c r="M107" s="10" t="inlineStr">
        <is>
          <t>4529</t>
        </is>
      </c>
      <c r="N107" s="10" t="inlineStr">
        <is>
          <t>2026-06-05</t>
        </is>
      </c>
      <c r="O107" s="11" t="inlineStr">
        <is>
          <t>https://www.roccpa.org.tw/member_search/more?id=EB158624-2C3E-48C5-B84C-3EECC8E0B364</t>
        </is>
      </c>
    </row>
    <row r="108">
      <c r="A108" s="10" t="n">
        <v>107</v>
      </c>
      <c r="B108" s="11" t="inlineStr">
        <is>
          <t>勤業眾信聯合會計師事務所</t>
        </is>
      </c>
      <c r="C108" s="11" t="inlineStr">
        <is>
          <t>Deloitte 勤業眾信</t>
        </is>
      </c>
      <c r="D108" s="11" t="inlineStr">
        <is>
          <t>許嘉銘</t>
        </is>
      </c>
      <c r="E108" s="10" t="inlineStr">
        <is>
          <t>台北總所</t>
        </is>
      </c>
      <c r="F108" s="12" t="inlineStr">
        <is>
          <t>台北市信義區松仁路100號20樓</t>
        </is>
      </c>
      <c r="G108" s="12" t="inlineStr">
        <is>
          <t>台北市信義區松仁路100號20樓</t>
        </is>
      </c>
      <c r="H108" s="12" t="inlineStr"/>
      <c r="I108" s="10" t="inlineStr">
        <is>
          <t>109/06/10</t>
        </is>
      </c>
      <c r="J108" s="11" t="inlineStr">
        <is>
          <t>全聯會一字第1090220</t>
        </is>
      </c>
      <c r="K108" s="10" t="inlineStr">
        <is>
          <t>北市</t>
        </is>
      </c>
      <c r="L108" s="10" t="inlineStr">
        <is>
          <t>109/06/10</t>
        </is>
      </c>
      <c r="M108" s="10" t="inlineStr">
        <is>
          <t>4259</t>
        </is>
      </c>
      <c r="N108" s="10" t="inlineStr">
        <is>
          <t>2026-06-05</t>
        </is>
      </c>
      <c r="O108" s="11" t="inlineStr">
        <is>
          <t>https://www.roccpa.org.tw/member_search/more?id=888ADCE9-0C22-4D7D-BA31-74553037AD6E</t>
        </is>
      </c>
    </row>
    <row r="109">
      <c r="A109" s="10" t="n">
        <v>108</v>
      </c>
      <c r="B109" s="11" t="inlineStr">
        <is>
          <t>勤業眾信聯合會計師事務所</t>
        </is>
      </c>
      <c r="C109" s="11" t="inlineStr">
        <is>
          <t>Deloitte 勤業眾信</t>
        </is>
      </c>
      <c r="D109" s="11" t="inlineStr">
        <is>
          <t>許晉銘</t>
        </is>
      </c>
      <c r="E109" s="10" t="inlineStr">
        <is>
          <t>台北總所</t>
        </is>
      </c>
      <c r="F109" s="12" t="inlineStr">
        <is>
          <t>台北市信義區松仁路100號20樓</t>
        </is>
      </c>
      <c r="G109" s="12" t="inlineStr">
        <is>
          <t>台北市信義區松仁路100號20樓</t>
        </is>
      </c>
      <c r="H109" s="12" t="inlineStr"/>
      <c r="I109" s="10" t="inlineStr"/>
      <c r="J109" s="11" t="inlineStr"/>
      <c r="K109" s="10" t="inlineStr">
        <is>
          <t>北市</t>
        </is>
      </c>
      <c r="L109" s="10" t="inlineStr">
        <is>
          <t>093/06/10</t>
        </is>
      </c>
      <c r="M109" s="10" t="inlineStr">
        <is>
          <t>2648</t>
        </is>
      </c>
      <c r="N109" s="10" t="inlineStr">
        <is>
          <t>2026-06-05</t>
        </is>
      </c>
      <c r="O109" s="11" t="inlineStr">
        <is>
          <t>https://www.roccpa.org.tw/member_search/more?id=DBB022D6-28E3-4793-8586-7B8F494FFBAA</t>
        </is>
      </c>
    </row>
    <row r="110">
      <c r="A110" s="10" t="n">
        <v>109</v>
      </c>
      <c r="B110" s="11" t="inlineStr">
        <is>
          <t>勤業眾信聯合會計師事務所</t>
        </is>
      </c>
      <c r="C110" s="11" t="inlineStr">
        <is>
          <t>Deloitte 勤業眾信</t>
        </is>
      </c>
      <c r="D110" s="11" t="inlineStr">
        <is>
          <t>許秀明</t>
        </is>
      </c>
      <c r="E110" s="10" t="inlineStr">
        <is>
          <t>台北總所</t>
        </is>
      </c>
      <c r="F110" s="12" t="inlineStr">
        <is>
          <t>台北市信義區松仁路100號20樓</t>
        </is>
      </c>
      <c r="G110" s="12" t="inlineStr">
        <is>
          <t>台北市信義區松仁路100號20樓</t>
        </is>
      </c>
      <c r="H110" s="12" t="inlineStr"/>
      <c r="I110" s="10" t="inlineStr"/>
      <c r="J110" s="11" t="inlineStr"/>
      <c r="K110" s="10" t="inlineStr">
        <is>
          <t>北市</t>
        </is>
      </c>
      <c r="L110" s="10" t="inlineStr">
        <is>
          <t>087/11/17</t>
        </is>
      </c>
      <c r="M110" s="10" t="inlineStr">
        <is>
          <t>2100</t>
        </is>
      </c>
      <c r="N110" s="10" t="inlineStr">
        <is>
          <t>2026-06-05</t>
        </is>
      </c>
      <c r="O110" s="11" t="inlineStr">
        <is>
          <t>https://www.roccpa.org.tw/member_search/more?id=0D81EFDA-ACB5-403A-A9A3-D1351F004EE8</t>
        </is>
      </c>
    </row>
    <row r="111">
      <c r="A111" s="10" t="n">
        <v>110</v>
      </c>
      <c r="B111" s="11" t="inlineStr">
        <is>
          <t>勤業眾信聯合會計師事務所</t>
        </is>
      </c>
      <c r="C111" s="11" t="inlineStr">
        <is>
          <t>Deloitte 勤業眾信</t>
        </is>
      </c>
      <c r="D111" s="11" t="inlineStr">
        <is>
          <t>謝建新</t>
        </is>
      </c>
      <c r="E111" s="10" t="inlineStr">
        <is>
          <t>台北總所</t>
        </is>
      </c>
      <c r="F111" s="12" t="inlineStr">
        <is>
          <t>台北市信義區松仁路100號20樓</t>
        </is>
      </c>
      <c r="G111" s="12" t="inlineStr">
        <is>
          <t>台北市信義區松仁路100號20樓</t>
        </is>
      </c>
      <c r="H111" s="12" t="inlineStr"/>
      <c r="I111" s="10" t="inlineStr"/>
      <c r="J111" s="11" t="inlineStr"/>
      <c r="K111" s="10" t="inlineStr">
        <is>
          <t>北市</t>
        </is>
      </c>
      <c r="L111" s="10" t="inlineStr">
        <is>
          <t>090/07/12</t>
        </is>
      </c>
      <c r="M111" s="10" t="inlineStr">
        <is>
          <t>2368</t>
        </is>
      </c>
      <c r="N111" s="10" t="inlineStr">
        <is>
          <t>2026-06-05</t>
        </is>
      </c>
      <c r="O111" s="11" t="inlineStr">
        <is>
          <t>https://www.roccpa.org.tw/member_search/more?id=92811800-052E-4554-92DA-5CCCC102D00D</t>
        </is>
      </c>
    </row>
    <row r="112">
      <c r="A112" s="10" t="n">
        <v>111</v>
      </c>
      <c r="B112" s="11" t="inlineStr">
        <is>
          <t>勤業眾信聯合會計師事務所</t>
        </is>
      </c>
      <c r="C112" s="11" t="inlineStr">
        <is>
          <t>Deloitte 勤業眾信</t>
        </is>
      </c>
      <c r="D112" s="11" t="inlineStr">
        <is>
          <t>謝明忠</t>
        </is>
      </c>
      <c r="E112" s="10" t="inlineStr">
        <is>
          <t>台北總所</t>
        </is>
      </c>
      <c r="F112" s="12" t="inlineStr">
        <is>
          <t>台北市信義區松仁路100號20樓</t>
        </is>
      </c>
      <c r="G112" s="12" t="inlineStr">
        <is>
          <t>台北市信義區松仁路100號20樓</t>
        </is>
      </c>
      <c r="H112" s="12" t="inlineStr"/>
      <c r="I112" s="10" t="inlineStr">
        <is>
          <t>100/05/25</t>
        </is>
      </c>
      <c r="J112" s="11" t="inlineStr">
        <is>
          <t>全聯會一字第1000209</t>
        </is>
      </c>
      <c r="K112" s="10" t="inlineStr">
        <is>
          <t>北市</t>
        </is>
      </c>
      <c r="L112" s="10" t="inlineStr">
        <is>
          <t>100/06/07</t>
        </is>
      </c>
      <c r="M112" s="10" t="inlineStr">
        <is>
          <t>3356</t>
        </is>
      </c>
      <c r="N112" s="10" t="inlineStr">
        <is>
          <t>2026-06-05</t>
        </is>
      </c>
      <c r="O112" s="11" t="inlineStr">
        <is>
          <t>https://www.roccpa.org.tw/member_search/more?id=59205CA6-E1EA-4115-BEBF-A8203C628F3D</t>
        </is>
      </c>
    </row>
    <row r="113">
      <c r="A113" s="10" t="n">
        <v>112</v>
      </c>
      <c r="B113" s="11" t="inlineStr">
        <is>
          <t>勤業眾信聯合會計師事務所</t>
        </is>
      </c>
      <c r="C113" s="11" t="inlineStr">
        <is>
          <t>Deloitte 勤業眾信</t>
        </is>
      </c>
      <c r="D113" s="11" t="inlineStr">
        <is>
          <t>謝東儒</t>
        </is>
      </c>
      <c r="E113" s="10" t="inlineStr">
        <is>
          <t>台北總所</t>
        </is>
      </c>
      <c r="F113" s="12" t="inlineStr">
        <is>
          <t>台北市信義區松仁路100號20樓</t>
        </is>
      </c>
      <c r="G113" s="12" t="inlineStr">
        <is>
          <t>台北市信義區松仁路100號20樓</t>
        </is>
      </c>
      <c r="H113" s="12" t="inlineStr"/>
      <c r="I113" s="10" t="inlineStr">
        <is>
          <t>109/06/10</t>
        </is>
      </c>
      <c r="J113" s="11" t="inlineStr">
        <is>
          <t>全聯會一字第1090218</t>
        </is>
      </c>
      <c r="K113" s="10" t="inlineStr">
        <is>
          <t>北市</t>
        </is>
      </c>
      <c r="L113" s="10" t="inlineStr">
        <is>
          <t>109/06/10</t>
        </is>
      </c>
      <c r="M113" s="10" t="inlineStr">
        <is>
          <t>4257</t>
        </is>
      </c>
      <c r="N113" s="10" t="inlineStr">
        <is>
          <t>2026-06-05</t>
        </is>
      </c>
      <c r="O113" s="11" t="inlineStr">
        <is>
          <t>https://www.roccpa.org.tw/member_search/more?id=18408570-7080-470C-A063-ED10FDCFEF01</t>
        </is>
      </c>
    </row>
    <row r="114">
      <c r="A114" s="10" t="n">
        <v>113</v>
      </c>
      <c r="B114" s="11" t="inlineStr">
        <is>
          <t>勤業眾信聯合會計師事務所</t>
        </is>
      </c>
      <c r="C114" s="11" t="inlineStr">
        <is>
          <t>Deloitte 勤業眾信</t>
        </is>
      </c>
      <c r="D114" s="11" t="inlineStr">
        <is>
          <t>謝穎維</t>
        </is>
      </c>
      <c r="E114" s="10" t="inlineStr">
        <is>
          <t>台北總所</t>
        </is>
      </c>
      <c r="F114" s="12" t="inlineStr">
        <is>
          <t>台北市信義區松仁路100號20樓</t>
        </is>
      </c>
      <c r="G114" s="12" t="inlineStr">
        <is>
          <t>台北市信義區松仁路100號20樓</t>
        </is>
      </c>
      <c r="H114" s="12" t="inlineStr"/>
      <c r="I114" s="10" t="inlineStr">
        <is>
          <t>113/06/19</t>
        </is>
      </c>
      <c r="J114" s="11" t="inlineStr">
        <is>
          <t>全聯會一字第1130000283號</t>
        </is>
      </c>
      <c r="K114" s="10" t="inlineStr">
        <is>
          <t>北市</t>
        </is>
      </c>
      <c r="L114" s="10" t="inlineStr">
        <is>
          <t>113/06/19</t>
        </is>
      </c>
      <c r="M114" s="10" t="inlineStr">
        <is>
          <t>4640</t>
        </is>
      </c>
      <c r="N114" s="10" t="inlineStr">
        <is>
          <t>2026-06-05</t>
        </is>
      </c>
      <c r="O114" s="11" t="inlineStr">
        <is>
          <t>https://www.roccpa.org.tw/member_search/more?id=63B94E50-C857-4375-BBF5-6EC7873F75FD</t>
        </is>
      </c>
    </row>
    <row r="115">
      <c r="A115" s="10" t="n">
        <v>114</v>
      </c>
      <c r="B115" s="11" t="inlineStr">
        <is>
          <t>勤業眾信聯合會計師事務所</t>
        </is>
      </c>
      <c r="C115" s="11" t="inlineStr">
        <is>
          <t>Deloitte 勤業眾信</t>
        </is>
      </c>
      <c r="D115" s="11" t="inlineStr">
        <is>
          <t>賴柏勳</t>
        </is>
      </c>
      <c r="E115" s="10" t="inlineStr">
        <is>
          <t>台北總所</t>
        </is>
      </c>
      <c r="F115" s="12" t="inlineStr">
        <is>
          <t>台北市信義區松仁路100號20樓</t>
        </is>
      </c>
      <c r="G115" s="12" t="inlineStr">
        <is>
          <t>台北市信義區松仁路100號20樓</t>
        </is>
      </c>
      <c r="H115" s="12" t="inlineStr"/>
      <c r="I115" s="10" t="inlineStr">
        <is>
          <t>113/09/02</t>
        </is>
      </c>
      <c r="J115" s="11" t="inlineStr">
        <is>
          <t>全聯會一字第1130000401號</t>
        </is>
      </c>
      <c r="K115" s="10" t="inlineStr">
        <is>
          <t>北市</t>
        </is>
      </c>
      <c r="L115" s="10" t="inlineStr">
        <is>
          <t>113/09/02</t>
        </is>
      </c>
      <c r="M115" s="10" t="inlineStr">
        <is>
          <t>4662</t>
        </is>
      </c>
      <c r="N115" s="10" t="inlineStr">
        <is>
          <t>2026-06-05</t>
        </is>
      </c>
      <c r="O115" s="11" t="inlineStr">
        <is>
          <t>https://www.roccpa.org.tw/member_search/more?id=7E3A0093-C567-4279-A6C7-A33F454E7857</t>
        </is>
      </c>
    </row>
    <row r="116">
      <c r="A116" s="10" t="n">
        <v>115</v>
      </c>
      <c r="B116" s="11" t="inlineStr">
        <is>
          <t>勤業眾信聯合會計師事務所</t>
        </is>
      </c>
      <c r="C116" s="11" t="inlineStr">
        <is>
          <t>Deloitte 勤業眾信</t>
        </is>
      </c>
      <c r="D116" s="11" t="inlineStr">
        <is>
          <t>趙永祥</t>
        </is>
      </c>
      <c r="E116" s="10" t="inlineStr">
        <is>
          <t>台北總所</t>
        </is>
      </c>
      <c r="F116" s="12" t="inlineStr">
        <is>
          <t>台北市信義區松仁路100號20樓</t>
        </is>
      </c>
      <c r="G116" s="12" t="inlineStr">
        <is>
          <t>台北市信義區松仁路100號20樓</t>
        </is>
      </c>
      <c r="H116" s="12" t="inlineStr"/>
      <c r="I116" s="10" t="inlineStr">
        <is>
          <t>105/06/01</t>
        </is>
      </c>
      <c r="J116" s="11" t="inlineStr">
        <is>
          <t>全聯會一字第1050252</t>
        </is>
      </c>
      <c r="K116" s="10" t="inlineStr">
        <is>
          <t>北市</t>
        </is>
      </c>
      <c r="L116" s="10" t="inlineStr">
        <is>
          <t>105/06/13</t>
        </is>
      </c>
      <c r="M116" s="10" t="inlineStr">
        <is>
          <t>3939</t>
        </is>
      </c>
      <c r="N116" s="10" t="inlineStr">
        <is>
          <t>2026-06-05</t>
        </is>
      </c>
      <c r="O116" s="11" t="inlineStr">
        <is>
          <t>https://www.roccpa.org.tw/member_search/more?id=FBB758CB-54E4-4174-8C87-31FD7AFC27AC</t>
        </is>
      </c>
    </row>
    <row r="117">
      <c r="A117" s="10" t="n">
        <v>116</v>
      </c>
      <c r="B117" s="11" t="inlineStr">
        <is>
          <t>勤業眾信聯合會計師事務所</t>
        </is>
      </c>
      <c r="C117" s="11" t="inlineStr">
        <is>
          <t>Deloitte 勤業眾信</t>
        </is>
      </c>
      <c r="D117" s="11" t="inlineStr">
        <is>
          <t>辛宥呈</t>
        </is>
      </c>
      <c r="E117" s="10" t="inlineStr">
        <is>
          <t>台北總所</t>
        </is>
      </c>
      <c r="F117" s="12" t="inlineStr">
        <is>
          <t>台北市信義區松仁路100號20樓</t>
        </is>
      </c>
      <c r="G117" s="12" t="inlineStr">
        <is>
          <t>台北市信義區松仁路100號20樓</t>
        </is>
      </c>
      <c r="H117" s="12" t="inlineStr"/>
      <c r="I117" s="10" t="inlineStr">
        <is>
          <t>112/06/08</t>
        </is>
      </c>
      <c r="J117" s="11" t="inlineStr">
        <is>
          <t>全聯會一字第1120219</t>
        </is>
      </c>
      <c r="K117" s="10" t="inlineStr">
        <is>
          <t>北市</t>
        </is>
      </c>
      <c r="L117" s="10" t="inlineStr">
        <is>
          <t>112/06/08</t>
        </is>
      </c>
      <c r="M117" s="10" t="inlineStr">
        <is>
          <t>4525</t>
        </is>
      </c>
      <c r="N117" s="10" t="inlineStr">
        <is>
          <t>2026-06-05</t>
        </is>
      </c>
      <c r="O117" s="11" t="inlineStr">
        <is>
          <t>https://www.roccpa.org.tw/member_search/more?id=9F6E389E-5DA2-400D-BD52-5350BC331449</t>
        </is>
      </c>
    </row>
    <row r="118">
      <c r="A118" s="10" t="n">
        <v>117</v>
      </c>
      <c r="B118" s="11" t="inlineStr">
        <is>
          <t>勤業眾信聯合會計師事務所</t>
        </is>
      </c>
      <c r="C118" s="11" t="inlineStr">
        <is>
          <t>Deloitte 勤業眾信</t>
        </is>
      </c>
      <c r="D118" s="11" t="inlineStr">
        <is>
          <t>邱咏平</t>
        </is>
      </c>
      <c r="E118" s="10" t="inlineStr">
        <is>
          <t>台北總所</t>
        </is>
      </c>
      <c r="F118" s="12" t="inlineStr">
        <is>
          <t>台北市信義區松仁路100號20樓</t>
        </is>
      </c>
      <c r="G118" s="12" t="inlineStr">
        <is>
          <t>台北市信義區松仁路100號20樓</t>
        </is>
      </c>
      <c r="H118" s="12" t="inlineStr"/>
      <c r="I118" s="10" t="inlineStr">
        <is>
          <t>115/06/15</t>
        </is>
      </c>
      <c r="J118" s="11" t="inlineStr">
        <is>
          <t>全聯會一字第1150000291號</t>
        </is>
      </c>
      <c r="K118" s="10" t="inlineStr">
        <is>
          <t>北市</t>
        </is>
      </c>
      <c r="L118" s="10" t="inlineStr">
        <is>
          <t>115/06/15</t>
        </is>
      </c>
      <c r="M118" s="10" t="inlineStr">
        <is>
          <t>4898</t>
        </is>
      </c>
      <c r="N118" s="10" t="inlineStr">
        <is>
          <t>2026-06-22</t>
        </is>
      </c>
      <c r="O118" s="11" t="inlineStr">
        <is>
          <t>https://www.roccpa.org.tw/member_search/more?id=61f212dcacd24998bfdd816082e317e9</t>
        </is>
      </c>
    </row>
    <row r="119">
      <c r="A119" s="10" t="n">
        <v>118</v>
      </c>
      <c r="B119" s="11" t="inlineStr">
        <is>
          <t>勤業眾信聯合會計師事務所</t>
        </is>
      </c>
      <c r="C119" s="11" t="inlineStr">
        <is>
          <t>Deloitte 勤業眾信</t>
        </is>
      </c>
      <c r="D119" s="11" t="inlineStr">
        <is>
          <t>邱政俊</t>
        </is>
      </c>
      <c r="E119" s="10" t="inlineStr">
        <is>
          <t>台北總所</t>
        </is>
      </c>
      <c r="F119" s="12" t="inlineStr">
        <is>
          <t>台北市信義區松仁路100號20樓</t>
        </is>
      </c>
      <c r="G119" s="12" t="inlineStr">
        <is>
          <t>台北市信義區松仁路100號20樓</t>
        </is>
      </c>
      <c r="H119" s="12" t="inlineStr"/>
      <c r="I119" s="10" t="inlineStr"/>
      <c r="J119" s="11" t="inlineStr"/>
      <c r="K119" s="10" t="inlineStr">
        <is>
          <t>北市</t>
        </is>
      </c>
      <c r="L119" s="10" t="inlineStr">
        <is>
          <t>093/11/17</t>
        </is>
      </c>
      <c r="M119" s="10" t="inlineStr">
        <is>
          <t>2695</t>
        </is>
      </c>
      <c r="N119" s="10" t="inlineStr">
        <is>
          <t>2026-06-05</t>
        </is>
      </c>
      <c r="O119" s="11" t="inlineStr">
        <is>
          <t>https://www.roccpa.org.tw/member_search/more?id=EFAF0974-9437-4FC4-8CDB-F8FCF7DF8037</t>
        </is>
      </c>
    </row>
    <row r="120">
      <c r="A120" s="10" t="n">
        <v>119</v>
      </c>
      <c r="B120" s="11" t="inlineStr">
        <is>
          <t>勤業眾信聯合會計師事務所</t>
        </is>
      </c>
      <c r="C120" s="11" t="inlineStr">
        <is>
          <t>Deloitte 勤業眾信</t>
        </is>
      </c>
      <c r="D120" s="11" t="inlineStr">
        <is>
          <t>邱盟捷</t>
        </is>
      </c>
      <c r="E120" s="10" t="inlineStr">
        <is>
          <t>台北總所</t>
        </is>
      </c>
      <c r="F120" s="12" t="inlineStr">
        <is>
          <t>台北市信義區松仁路100號20樓</t>
        </is>
      </c>
      <c r="G120" s="12" t="inlineStr">
        <is>
          <t>台北市信義區松仁路100號20樓</t>
        </is>
      </c>
      <c r="H120" s="12" t="inlineStr"/>
      <c r="I120" s="10" t="inlineStr">
        <is>
          <t>102/06/03</t>
        </is>
      </c>
      <c r="J120" s="11" t="inlineStr">
        <is>
          <t>全聯會一字第1020215</t>
        </is>
      </c>
      <c r="K120" s="10" t="inlineStr">
        <is>
          <t>北市</t>
        </is>
      </c>
      <c r="L120" s="10" t="inlineStr">
        <is>
          <t>102/06/19</t>
        </is>
      </c>
      <c r="M120" s="10" t="inlineStr">
        <is>
          <t>3591</t>
        </is>
      </c>
      <c r="N120" s="10" t="inlineStr">
        <is>
          <t>2026-06-05</t>
        </is>
      </c>
      <c r="O120" s="11" t="inlineStr">
        <is>
          <t>https://www.roccpa.org.tw/member_search/more?id=F9F3ECC7-7F12-41A6-AC63-DD093A10F553</t>
        </is>
      </c>
    </row>
    <row r="121">
      <c r="A121" s="10" t="n">
        <v>120</v>
      </c>
      <c r="B121" s="11" t="inlineStr">
        <is>
          <t>勤業眾信聯合會計師事務所</t>
        </is>
      </c>
      <c r="C121" s="11" t="inlineStr">
        <is>
          <t>Deloitte 勤業眾信</t>
        </is>
      </c>
      <c r="D121" s="11" t="inlineStr">
        <is>
          <t>邱鏞銘</t>
        </is>
      </c>
      <c r="E121" s="10" t="inlineStr">
        <is>
          <t>台北總所</t>
        </is>
      </c>
      <c r="F121" s="12" t="inlineStr">
        <is>
          <t>台北市信義區松仁路100號20樓</t>
        </is>
      </c>
      <c r="G121" s="12" t="inlineStr">
        <is>
          <t>台北市信義區松仁路100號20樓</t>
        </is>
      </c>
      <c r="H121" s="12" t="inlineStr"/>
      <c r="I121" s="10" t="inlineStr">
        <is>
          <t>110/06/09</t>
        </is>
      </c>
      <c r="J121" s="11" t="inlineStr">
        <is>
          <t>全聯會一字第1100221</t>
        </is>
      </c>
      <c r="K121" s="10" t="inlineStr">
        <is>
          <t>北市</t>
        </is>
      </c>
      <c r="L121" s="10" t="inlineStr">
        <is>
          <t>110/06/09</t>
        </is>
      </c>
      <c r="M121" s="10" t="inlineStr">
        <is>
          <t>4326</t>
        </is>
      </c>
      <c r="N121" s="10" t="inlineStr">
        <is>
          <t>2026-06-05</t>
        </is>
      </c>
      <c r="O121" s="11" t="inlineStr">
        <is>
          <t>https://www.roccpa.org.tw/member_search/more?id=459C2593-0994-4C44-9D69-DAB10AF7B6C4</t>
        </is>
      </c>
    </row>
    <row r="122">
      <c r="A122" s="10" t="n">
        <v>121</v>
      </c>
      <c r="B122" s="11" t="inlineStr">
        <is>
          <t>勤業眾信聯合會計師事務所</t>
        </is>
      </c>
      <c r="C122" s="11" t="inlineStr">
        <is>
          <t>Deloitte 勤業眾信</t>
        </is>
      </c>
      <c r="D122" s="11" t="inlineStr">
        <is>
          <t>邵志明</t>
        </is>
      </c>
      <c r="E122" s="10" t="inlineStr">
        <is>
          <t>台北總所</t>
        </is>
      </c>
      <c r="F122" s="12" t="inlineStr">
        <is>
          <t>台北市信義區松仁路100號20樓</t>
        </is>
      </c>
      <c r="G122" s="12" t="inlineStr">
        <is>
          <t>台北市信義區松仁路100號20樓</t>
        </is>
      </c>
      <c r="H122" s="12" t="inlineStr"/>
      <c r="I122" s="10" t="inlineStr"/>
      <c r="J122" s="11" t="inlineStr"/>
      <c r="K122" s="10" t="inlineStr">
        <is>
          <t>北市</t>
        </is>
      </c>
      <c r="L122" s="10" t="inlineStr">
        <is>
          <t>093/06/10</t>
        </is>
      </c>
      <c r="M122" s="10" t="inlineStr">
        <is>
          <t>2658</t>
        </is>
      </c>
      <c r="N122" s="10" t="inlineStr">
        <is>
          <t>2026-06-05</t>
        </is>
      </c>
      <c r="O122" s="11" t="inlineStr">
        <is>
          <t>https://www.roccpa.org.tw/member_search/more?id=DED04DD0-C182-4A8E-A05C-1DB75AE9622D</t>
        </is>
      </c>
    </row>
    <row r="123">
      <c r="A123" s="10" t="n">
        <v>122</v>
      </c>
      <c r="B123" s="11" t="inlineStr">
        <is>
          <t>勤業眾信聯合會計師事務所</t>
        </is>
      </c>
      <c r="C123" s="11" t="inlineStr">
        <is>
          <t>Deloitte 勤業眾信</t>
        </is>
      </c>
      <c r="D123" s="11" t="inlineStr">
        <is>
          <t>郭乃華</t>
        </is>
      </c>
      <c r="E123" s="10" t="inlineStr">
        <is>
          <t>台北總所</t>
        </is>
      </c>
      <c r="F123" s="12" t="inlineStr">
        <is>
          <t>台北市信義區松仁路100號20樓</t>
        </is>
      </c>
      <c r="G123" s="12" t="inlineStr">
        <is>
          <t>台北市信義區松仁路100號20樓</t>
        </is>
      </c>
      <c r="H123" s="12" t="inlineStr"/>
      <c r="I123" s="10" t="inlineStr">
        <is>
          <t>107/06/04</t>
        </is>
      </c>
      <c r="J123" s="11" t="inlineStr">
        <is>
          <t>全聯會一字第1070243</t>
        </is>
      </c>
      <c r="K123" s="10" t="inlineStr">
        <is>
          <t>北市</t>
        </is>
      </c>
      <c r="L123" s="10" t="inlineStr">
        <is>
          <t>107/06/04</t>
        </is>
      </c>
      <c r="M123" s="10" t="inlineStr">
        <is>
          <t>4102</t>
        </is>
      </c>
      <c r="N123" s="10" t="inlineStr">
        <is>
          <t>2026-06-05</t>
        </is>
      </c>
      <c r="O123" s="11" t="inlineStr">
        <is>
          <t>https://www.roccpa.org.tw/member_search/more?id=05834B1C-2F69-4A41-8CDB-3D425B467CEF</t>
        </is>
      </c>
    </row>
    <row r="124">
      <c r="A124" s="10" t="n">
        <v>123</v>
      </c>
      <c r="B124" s="11" t="inlineStr">
        <is>
          <t>勤業眾信聯合會計師事務所</t>
        </is>
      </c>
      <c r="C124" s="11" t="inlineStr">
        <is>
          <t>Deloitte 勤業眾信</t>
        </is>
      </c>
      <c r="D124" s="11" t="inlineStr">
        <is>
          <t>郭文吉</t>
        </is>
      </c>
      <c r="E124" s="10" t="inlineStr">
        <is>
          <t>台北總所</t>
        </is>
      </c>
      <c r="F124" s="12" t="inlineStr">
        <is>
          <t>台北市信義區松仁路100號20樓</t>
        </is>
      </c>
      <c r="G124" s="12" t="inlineStr">
        <is>
          <t>台北市信義區松仁路100號20樓</t>
        </is>
      </c>
      <c r="H124" s="12" t="inlineStr"/>
      <c r="I124" s="10" t="inlineStr"/>
      <c r="J124" s="11" t="inlineStr"/>
      <c r="K124" s="10" t="inlineStr">
        <is>
          <t>北市</t>
        </is>
      </c>
      <c r="L124" s="10" t="inlineStr">
        <is>
          <t>087/08/01</t>
        </is>
      </c>
      <c r="M124" s="10" t="inlineStr">
        <is>
          <t>2052</t>
        </is>
      </c>
      <c r="N124" s="10" t="inlineStr">
        <is>
          <t>2026-06-05</t>
        </is>
      </c>
      <c r="O124" s="11" t="inlineStr">
        <is>
          <t>https://www.roccpa.org.tw/member_search/more?id=2E6E954A-486E-424F-AA1E-111C32B8AF5C</t>
        </is>
      </c>
    </row>
    <row r="125">
      <c r="A125" s="10" t="n">
        <v>124</v>
      </c>
      <c r="B125" s="11" t="inlineStr">
        <is>
          <t>勤業眾信聯合會計師事務所</t>
        </is>
      </c>
      <c r="C125" s="11" t="inlineStr">
        <is>
          <t>Deloitte 勤業眾信</t>
        </is>
      </c>
      <c r="D125" s="11" t="inlineStr">
        <is>
          <t>鄭旭然</t>
        </is>
      </c>
      <c r="E125" s="10" t="inlineStr">
        <is>
          <t>台北總所</t>
        </is>
      </c>
      <c r="F125" s="12" t="inlineStr">
        <is>
          <t>台北市信義區松仁路100號20樓</t>
        </is>
      </c>
      <c r="G125" s="12" t="inlineStr">
        <is>
          <t>台北市信義區松仁路100號20樓</t>
        </is>
      </c>
      <c r="H125" s="12" t="inlineStr"/>
      <c r="I125" s="10" t="inlineStr">
        <is>
          <t>101/06/04</t>
        </is>
      </c>
      <c r="J125" s="11" t="inlineStr">
        <is>
          <t>全聯會一字第1010175</t>
        </is>
      </c>
      <c r="K125" s="10" t="inlineStr">
        <is>
          <t>北市</t>
        </is>
      </c>
      <c r="L125" s="10" t="inlineStr">
        <is>
          <t>101/06/14</t>
        </is>
      </c>
      <c r="M125" s="10" t="inlineStr">
        <is>
          <t>3467</t>
        </is>
      </c>
      <c r="N125" s="10" t="inlineStr">
        <is>
          <t>2026-06-05</t>
        </is>
      </c>
      <c r="O125" s="11" t="inlineStr">
        <is>
          <t>https://www.roccpa.org.tw/member_search/more?id=16B3467D-6996-4A08-AFA0-732FC7840045</t>
        </is>
      </c>
    </row>
    <row r="126">
      <c r="A126" s="10" t="n">
        <v>125</v>
      </c>
      <c r="B126" s="11" t="inlineStr">
        <is>
          <t>勤業眾信聯合會計師事務所</t>
        </is>
      </c>
      <c r="C126" s="11" t="inlineStr">
        <is>
          <t>Deloitte 勤業眾信</t>
        </is>
      </c>
      <c r="D126" s="11" t="inlineStr">
        <is>
          <t>鄭欽宗</t>
        </is>
      </c>
      <c r="E126" s="10" t="inlineStr">
        <is>
          <t>台北總所</t>
        </is>
      </c>
      <c r="F126" s="12" t="inlineStr">
        <is>
          <t>台北市信義區松仁路100號20樓</t>
        </is>
      </c>
      <c r="G126" s="12" t="inlineStr">
        <is>
          <t>台北市信義區松仁路100號20樓</t>
        </is>
      </c>
      <c r="H126" s="12" t="inlineStr"/>
      <c r="I126" s="10" t="inlineStr">
        <is>
          <t>101/06/04</t>
        </is>
      </c>
      <c r="J126" s="11" t="inlineStr">
        <is>
          <t>全聯會一字第1010176</t>
        </is>
      </c>
      <c r="K126" s="10" t="inlineStr">
        <is>
          <t>北市</t>
        </is>
      </c>
      <c r="L126" s="10" t="inlineStr">
        <is>
          <t>101/06/14</t>
        </is>
      </c>
      <c r="M126" s="10" t="inlineStr">
        <is>
          <t>3468</t>
        </is>
      </c>
      <c r="N126" s="10" t="inlineStr">
        <is>
          <t>2026-06-05</t>
        </is>
      </c>
      <c r="O126" s="11" t="inlineStr">
        <is>
          <t>https://www.roccpa.org.tw/member_search/more?id=42DB878D-03CF-4503-A1A1-252E52D0B912</t>
        </is>
      </c>
    </row>
    <row r="127">
      <c r="A127" s="10" t="n">
        <v>126</v>
      </c>
      <c r="B127" s="11" t="inlineStr">
        <is>
          <t>勤業眾信聯合會計師事務所</t>
        </is>
      </c>
      <c r="C127" s="11" t="inlineStr">
        <is>
          <t>Deloitte 勤業眾信</t>
        </is>
      </c>
      <c r="D127" s="11" t="inlineStr">
        <is>
          <t>鄭淂蓁</t>
        </is>
      </c>
      <c r="E127" s="10" t="inlineStr">
        <is>
          <t>台北總所</t>
        </is>
      </c>
      <c r="F127" s="12" t="inlineStr">
        <is>
          <t>台北市信義區松仁路100號20樓</t>
        </is>
      </c>
      <c r="G127" s="12" t="inlineStr">
        <is>
          <t>台北市信義區松仁路100號20樓</t>
        </is>
      </c>
      <c r="H127" s="12" t="inlineStr"/>
      <c r="I127" s="10" t="inlineStr">
        <is>
          <t>100/05/25</t>
        </is>
      </c>
      <c r="J127" s="11" t="inlineStr">
        <is>
          <t>全聯會一字第1000208</t>
        </is>
      </c>
      <c r="K127" s="10" t="inlineStr">
        <is>
          <t>北市</t>
        </is>
      </c>
      <c r="L127" s="10" t="inlineStr">
        <is>
          <t>100/06/07</t>
        </is>
      </c>
      <c r="M127" s="10" t="inlineStr">
        <is>
          <t>3355</t>
        </is>
      </c>
      <c r="N127" s="10" t="inlineStr">
        <is>
          <t>2026-06-05</t>
        </is>
      </c>
      <c r="O127" s="11" t="inlineStr">
        <is>
          <t>https://www.roccpa.org.tw/member_search/more?id=FAF1D032-B970-4316-814D-B540605983BC</t>
        </is>
      </c>
    </row>
    <row r="128">
      <c r="A128" s="10" t="n">
        <v>127</v>
      </c>
      <c r="B128" s="11" t="inlineStr">
        <is>
          <t>勤業眾信聯合會計師事務所</t>
        </is>
      </c>
      <c r="C128" s="11" t="inlineStr">
        <is>
          <t>Deloitte 勤業眾信</t>
        </is>
      </c>
      <c r="D128" s="11" t="inlineStr">
        <is>
          <t>錢奕圻</t>
        </is>
      </c>
      <c r="E128" s="10" t="inlineStr">
        <is>
          <t>台北總所</t>
        </is>
      </c>
      <c r="F128" s="12" t="inlineStr">
        <is>
          <t>台北市信義區松仁路100號20樓</t>
        </is>
      </c>
      <c r="G128" s="12" t="inlineStr">
        <is>
          <t>台北市信義區松仁路100號20樓</t>
        </is>
      </c>
      <c r="H128" s="12" t="inlineStr"/>
      <c r="I128" s="10" t="inlineStr">
        <is>
          <t>111/06/10</t>
        </is>
      </c>
      <c r="J128" s="11" t="inlineStr">
        <is>
          <t>全聯會一字第1110216</t>
        </is>
      </c>
      <c r="K128" s="10" t="inlineStr">
        <is>
          <t>北市</t>
        </is>
      </c>
      <c r="L128" s="10" t="inlineStr">
        <is>
          <t>111/06/10</t>
        </is>
      </c>
      <c r="M128" s="10" t="inlineStr">
        <is>
          <t>4428</t>
        </is>
      </c>
      <c r="N128" s="10" t="inlineStr">
        <is>
          <t>2026-06-05</t>
        </is>
      </c>
      <c r="O128" s="11" t="inlineStr">
        <is>
          <t>https://www.roccpa.org.tw/member_search/more?id=0423021B-C08F-40BA-B100-551E0AF0E353</t>
        </is>
      </c>
    </row>
    <row r="129">
      <c r="A129" s="10" t="n">
        <v>128</v>
      </c>
      <c r="B129" s="11" t="inlineStr">
        <is>
          <t>勤業眾信聯合會計師事務所</t>
        </is>
      </c>
      <c r="C129" s="11" t="inlineStr">
        <is>
          <t>Deloitte 勤業眾信</t>
        </is>
      </c>
      <c r="D129" s="11" t="inlineStr">
        <is>
          <t>陳世婷</t>
        </is>
      </c>
      <c r="E129" s="10" t="inlineStr">
        <is>
          <t>台北總所</t>
        </is>
      </c>
      <c r="F129" s="12" t="inlineStr">
        <is>
          <t>台北市信義區松仁路100號20樓</t>
        </is>
      </c>
      <c r="G129" s="12" t="inlineStr">
        <is>
          <t>台北市信義區松仁路100號20樓</t>
        </is>
      </c>
      <c r="H129" s="12" t="inlineStr"/>
      <c r="I129" s="10" t="inlineStr">
        <is>
          <t>114/06/18</t>
        </is>
      </c>
      <c r="J129" s="11" t="inlineStr">
        <is>
          <t>全聯會一字第1140000246號</t>
        </is>
      </c>
      <c r="K129" s="10" t="inlineStr">
        <is>
          <t>北市</t>
        </is>
      </c>
      <c r="L129" s="10" t="inlineStr">
        <is>
          <t>114/06/18</t>
        </is>
      </c>
      <c r="M129" s="10" t="inlineStr">
        <is>
          <t>4730</t>
        </is>
      </c>
      <c r="N129" s="10" t="inlineStr">
        <is>
          <t>2026-06-05</t>
        </is>
      </c>
      <c r="O129" s="11" t="inlineStr">
        <is>
          <t>https://www.roccpa.org.tw/member_search/more?id=46047FC3-7D4C-478A-8186-576142B3253E</t>
        </is>
      </c>
    </row>
    <row r="130">
      <c r="A130" s="10" t="n">
        <v>129</v>
      </c>
      <c r="B130" s="11" t="inlineStr">
        <is>
          <t>勤業眾信聯合會計師事務所</t>
        </is>
      </c>
      <c r="C130" s="11" t="inlineStr">
        <is>
          <t>Deloitte 勤業眾信</t>
        </is>
      </c>
      <c r="D130" s="11" t="inlineStr">
        <is>
          <t>陳俊宏</t>
        </is>
      </c>
      <c r="E130" s="10" t="inlineStr">
        <is>
          <t>台北總所</t>
        </is>
      </c>
      <c r="F130" s="12" t="inlineStr">
        <is>
          <t>台北市信義區松仁路100號20樓</t>
        </is>
      </c>
      <c r="G130" s="12" t="inlineStr">
        <is>
          <t>台北市信義區松仁路100號20樓</t>
        </is>
      </c>
      <c r="H130" s="12" t="inlineStr"/>
      <c r="I130" s="10" t="inlineStr">
        <is>
          <t>099/05/25</t>
        </is>
      </c>
      <c r="J130" s="11" t="inlineStr">
        <is>
          <t>全聯會一字第09900256</t>
        </is>
      </c>
      <c r="K130" s="10" t="inlineStr">
        <is>
          <t>北市</t>
        </is>
      </c>
      <c r="L130" s="10" t="inlineStr">
        <is>
          <t>099/06/04</t>
        </is>
      </c>
      <c r="M130" s="10" t="inlineStr">
        <is>
          <t>3228</t>
        </is>
      </c>
      <c r="N130" s="10" t="inlineStr">
        <is>
          <t>2026-06-05</t>
        </is>
      </c>
      <c r="O130" s="11" t="inlineStr">
        <is>
          <t>https://www.roccpa.org.tw/member_search/more?id=8B68F6EA-89C9-4A2F-A99C-4A5E2C5F1D04</t>
        </is>
      </c>
    </row>
    <row r="131">
      <c r="A131" s="10" t="n">
        <v>130</v>
      </c>
      <c r="B131" s="11" t="inlineStr">
        <is>
          <t>勤業眾信聯合會計師事務所</t>
        </is>
      </c>
      <c r="C131" s="11" t="inlineStr">
        <is>
          <t>Deloitte 勤業眾信</t>
        </is>
      </c>
      <c r="D131" s="11" t="inlineStr">
        <is>
          <t>陳君銘</t>
        </is>
      </c>
      <c r="E131" s="10" t="inlineStr">
        <is>
          <t>台北總所</t>
        </is>
      </c>
      <c r="F131" s="12" t="inlineStr">
        <is>
          <t>台北市信義區松仁路100號20樓</t>
        </is>
      </c>
      <c r="G131" s="12" t="inlineStr">
        <is>
          <t>台北市信義區松仁路100號20樓</t>
        </is>
      </c>
      <c r="H131" s="12" t="inlineStr"/>
      <c r="I131" s="10" t="inlineStr">
        <is>
          <t>114/06/18</t>
        </is>
      </c>
      <c r="J131" s="11" t="inlineStr">
        <is>
          <t>全聯會一字第1140000243號</t>
        </is>
      </c>
      <c r="K131" s="10" t="inlineStr">
        <is>
          <t>北市</t>
        </is>
      </c>
      <c r="L131" s="10" t="inlineStr">
        <is>
          <t>114/06/18</t>
        </is>
      </c>
      <c r="M131" s="10" t="inlineStr">
        <is>
          <t>4727</t>
        </is>
      </c>
      <c r="N131" s="10" t="inlineStr">
        <is>
          <t>2026-06-05</t>
        </is>
      </c>
      <c r="O131" s="11" t="inlineStr">
        <is>
          <t>https://www.roccpa.org.tw/member_search/more?id=6ACBA29C-8892-4616-8F94-F96875F80417</t>
        </is>
      </c>
    </row>
    <row r="132">
      <c r="A132" s="10" t="n">
        <v>131</v>
      </c>
      <c r="B132" s="11" t="inlineStr">
        <is>
          <t>勤業眾信聯合會計師事務所</t>
        </is>
      </c>
      <c r="C132" s="11" t="inlineStr">
        <is>
          <t>Deloitte 勤業眾信</t>
        </is>
      </c>
      <c r="D132" s="11" t="inlineStr">
        <is>
          <t>陳培德</t>
        </is>
      </c>
      <c r="E132" s="10" t="inlineStr">
        <is>
          <t>台北總所</t>
        </is>
      </c>
      <c r="F132" s="12" t="inlineStr">
        <is>
          <t>台北市信義區松仁路100號20樓</t>
        </is>
      </c>
      <c r="G132" s="12" t="inlineStr">
        <is>
          <t>台北市信義區松仁路100號20樓</t>
        </is>
      </c>
      <c r="H132" s="12" t="inlineStr"/>
      <c r="I132" s="10" t="inlineStr">
        <is>
          <t>108/06/12</t>
        </is>
      </c>
      <c r="J132" s="11" t="inlineStr">
        <is>
          <t>全聯會一字第1080206</t>
        </is>
      </c>
      <c r="K132" s="10" t="inlineStr">
        <is>
          <t>北市</t>
        </is>
      </c>
      <c r="L132" s="10" t="inlineStr">
        <is>
          <t>108/06/12</t>
        </is>
      </c>
      <c r="M132" s="10" t="inlineStr">
        <is>
          <t>4170</t>
        </is>
      </c>
      <c r="N132" s="10" t="inlineStr">
        <is>
          <t>2026-06-05</t>
        </is>
      </c>
      <c r="O132" s="11" t="inlineStr">
        <is>
          <t>https://www.roccpa.org.tw/member_search/more?id=39AAAEA3-E392-4984-BF9D-D2B33CA6C8D3</t>
        </is>
      </c>
    </row>
    <row r="133">
      <c r="A133" s="10" t="n">
        <v>132</v>
      </c>
      <c r="B133" s="11" t="inlineStr">
        <is>
          <t>勤業眾信聯合會計師事務所</t>
        </is>
      </c>
      <c r="C133" s="11" t="inlineStr">
        <is>
          <t>Deloitte 勤業眾信</t>
        </is>
      </c>
      <c r="D133" s="11" t="inlineStr">
        <is>
          <t>陳宥嘉</t>
        </is>
      </c>
      <c r="E133" s="10" t="inlineStr">
        <is>
          <t>台北總所</t>
        </is>
      </c>
      <c r="F133" s="12" t="inlineStr">
        <is>
          <t>台北市信義區松仁路100號20樓</t>
        </is>
      </c>
      <c r="G133" s="12" t="inlineStr">
        <is>
          <t>台北市信義區松仁路100號20樓</t>
        </is>
      </c>
      <c r="H133" s="12" t="inlineStr"/>
      <c r="I133" s="10" t="inlineStr">
        <is>
          <t>107/06/04</t>
        </is>
      </c>
      <c r="J133" s="11" t="inlineStr">
        <is>
          <t>全聯會一字第1070244</t>
        </is>
      </c>
      <c r="K133" s="10" t="inlineStr">
        <is>
          <t>北市</t>
        </is>
      </c>
      <c r="L133" s="10" t="inlineStr">
        <is>
          <t>107/06/04</t>
        </is>
      </c>
      <c r="M133" s="10" t="inlineStr">
        <is>
          <t>4103</t>
        </is>
      </c>
      <c r="N133" s="10" t="inlineStr">
        <is>
          <t>2026-06-05</t>
        </is>
      </c>
      <c r="O133" s="11" t="inlineStr">
        <is>
          <t>https://www.roccpa.org.tw/member_search/more?id=8A2FAA91-0AF6-40B2-9200-E1B2CF535285</t>
        </is>
      </c>
    </row>
    <row r="134">
      <c r="A134" s="10" t="n">
        <v>133</v>
      </c>
      <c r="B134" s="11" t="inlineStr">
        <is>
          <t>勤業眾信聯合會計師事務所</t>
        </is>
      </c>
      <c r="C134" s="11" t="inlineStr">
        <is>
          <t>Deloitte 勤業眾信</t>
        </is>
      </c>
      <c r="D134" s="11" t="inlineStr">
        <is>
          <t>陳建宏</t>
        </is>
      </c>
      <c r="E134" s="10" t="inlineStr">
        <is>
          <t>台北總所</t>
        </is>
      </c>
      <c r="F134" s="12" t="inlineStr">
        <is>
          <t>台北市信義區松仁路100號20樓</t>
        </is>
      </c>
      <c r="G134" s="12" t="inlineStr">
        <is>
          <t>台北市信義區松仁路100號20樓</t>
        </is>
      </c>
      <c r="H134" s="12" t="inlineStr"/>
      <c r="I134" s="10" t="inlineStr"/>
      <c r="J134" s="11" t="inlineStr"/>
      <c r="K134" s="10" t="inlineStr">
        <is>
          <t>北市</t>
        </is>
      </c>
      <c r="L134" s="10" t="inlineStr">
        <is>
          <t>091/02/19</t>
        </is>
      </c>
      <c r="M134" s="10" t="inlineStr">
        <is>
          <t>2439</t>
        </is>
      </c>
      <c r="N134" s="10" t="inlineStr">
        <is>
          <t>2026-06-05</t>
        </is>
      </c>
      <c r="O134" s="11" t="inlineStr">
        <is>
          <t>https://www.roccpa.org.tw/member_search/more?id=65D27669-14C1-40C7-9666-4084487EBED3</t>
        </is>
      </c>
    </row>
    <row r="135">
      <c r="A135" s="10" t="n">
        <v>134</v>
      </c>
      <c r="B135" s="11" t="inlineStr">
        <is>
          <t>勤業眾信聯合會計師事務所</t>
        </is>
      </c>
      <c r="C135" s="11" t="inlineStr">
        <is>
          <t>Deloitte 勤業眾信</t>
        </is>
      </c>
      <c r="D135" s="11" t="inlineStr">
        <is>
          <t>陳建瑋</t>
        </is>
      </c>
      <c r="E135" s="10" t="inlineStr">
        <is>
          <t>台北總所</t>
        </is>
      </c>
      <c r="F135" s="12" t="inlineStr">
        <is>
          <t>台北市信義區松仁路100號20樓</t>
        </is>
      </c>
      <c r="G135" s="12" t="inlineStr">
        <is>
          <t>台北市信義區松仁路100號20樓</t>
        </is>
      </c>
      <c r="H135" s="12" t="inlineStr"/>
      <c r="I135" s="10" t="inlineStr">
        <is>
          <t>113/06/19</t>
        </is>
      </c>
      <c r="J135" s="11" t="inlineStr">
        <is>
          <t>全聯會一字第1130000279號</t>
        </is>
      </c>
      <c r="K135" s="10" t="inlineStr">
        <is>
          <t>北市</t>
        </is>
      </c>
      <c r="L135" s="10" t="inlineStr">
        <is>
          <t>113/06/19</t>
        </is>
      </c>
      <c r="M135" s="10" t="inlineStr">
        <is>
          <t>4636</t>
        </is>
      </c>
      <c r="N135" s="10" t="inlineStr">
        <is>
          <t>2026-06-05</t>
        </is>
      </c>
      <c r="O135" s="11" t="inlineStr">
        <is>
          <t>https://www.roccpa.org.tw/member_search/more?id=9BB2706C-882F-4BD7-A2C0-EF599166B7FE</t>
        </is>
      </c>
    </row>
    <row r="136">
      <c r="A136" s="10" t="n">
        <v>135</v>
      </c>
      <c r="B136" s="11" t="inlineStr">
        <is>
          <t>勤業眾信聯合會計師事務所</t>
        </is>
      </c>
      <c r="C136" s="11" t="inlineStr">
        <is>
          <t>Deloitte 勤業眾信</t>
        </is>
      </c>
      <c r="D136" s="11" t="inlineStr">
        <is>
          <t>陳建霖</t>
        </is>
      </c>
      <c r="E136" s="10" t="inlineStr">
        <is>
          <t>台北總所</t>
        </is>
      </c>
      <c r="F136" s="12" t="inlineStr">
        <is>
          <t>台北市信義區松仁路100號20樓</t>
        </is>
      </c>
      <c r="G136" s="12" t="inlineStr">
        <is>
          <t>台北市信義區松仁路100號20樓</t>
        </is>
      </c>
      <c r="H136" s="12" t="inlineStr"/>
      <c r="I136" s="10" t="inlineStr">
        <is>
          <t>111/06/10</t>
        </is>
      </c>
      <c r="J136" s="11" t="inlineStr">
        <is>
          <t>全聯會一字第1110222</t>
        </is>
      </c>
      <c r="K136" s="10" t="inlineStr">
        <is>
          <t>北市</t>
        </is>
      </c>
      <c r="L136" s="10" t="inlineStr">
        <is>
          <t>111/06/10</t>
        </is>
      </c>
      <c r="M136" s="10" t="inlineStr">
        <is>
          <t>4434</t>
        </is>
      </c>
      <c r="N136" s="10" t="inlineStr">
        <is>
          <t>2026-06-05</t>
        </is>
      </c>
      <c r="O136" s="11" t="inlineStr">
        <is>
          <t>https://www.roccpa.org.tw/member_search/more?id=7D55E35D-E62A-4AE9-B00D-36594C9E358A</t>
        </is>
      </c>
    </row>
    <row r="137">
      <c r="A137" s="10" t="n">
        <v>136</v>
      </c>
      <c r="B137" s="11" t="inlineStr">
        <is>
          <t>勤業眾信聯合會計師事務所</t>
        </is>
      </c>
      <c r="C137" s="11" t="inlineStr">
        <is>
          <t>Deloitte 勤業眾信</t>
        </is>
      </c>
      <c r="D137" s="11" t="inlineStr">
        <is>
          <t>陳彥君</t>
        </is>
      </c>
      <c r="E137" s="10" t="inlineStr">
        <is>
          <t>台北總所</t>
        </is>
      </c>
      <c r="F137" s="12" t="inlineStr">
        <is>
          <t>台北市信義區松仁路100號20樓</t>
        </is>
      </c>
      <c r="G137" s="12" t="inlineStr">
        <is>
          <t>台北市信義區松仁路100號20樓</t>
        </is>
      </c>
      <c r="H137" s="12" t="inlineStr"/>
      <c r="I137" s="10" t="inlineStr">
        <is>
          <t>110/06/09</t>
        </is>
      </c>
      <c r="J137" s="11" t="inlineStr">
        <is>
          <t>全聯會一字第1100228</t>
        </is>
      </c>
      <c r="K137" s="10" t="inlineStr">
        <is>
          <t>北市</t>
        </is>
      </c>
      <c r="L137" s="10" t="inlineStr">
        <is>
          <t>110/06/09</t>
        </is>
      </c>
      <c r="M137" s="10" t="inlineStr">
        <is>
          <t>4333</t>
        </is>
      </c>
      <c r="N137" s="10" t="inlineStr">
        <is>
          <t>2026-06-05</t>
        </is>
      </c>
      <c r="O137" s="11" t="inlineStr">
        <is>
          <t>https://www.roccpa.org.tw/member_search/more?id=87340E79-C8A2-4E89-BE24-A88F423CBCA7</t>
        </is>
      </c>
    </row>
    <row r="138">
      <c r="A138" s="10" t="n">
        <v>137</v>
      </c>
      <c r="B138" s="11" t="inlineStr">
        <is>
          <t>勤業眾信聯合會計師事務所</t>
        </is>
      </c>
      <c r="C138" s="11" t="inlineStr">
        <is>
          <t>Deloitte 勤業眾信</t>
        </is>
      </c>
      <c r="D138" s="11" t="inlineStr">
        <is>
          <t>陳惠明</t>
        </is>
      </c>
      <c r="E138" s="10" t="inlineStr">
        <is>
          <t>台北總所</t>
        </is>
      </c>
      <c r="F138" s="12" t="inlineStr">
        <is>
          <t>台北市信義區松仁路100號20樓</t>
        </is>
      </c>
      <c r="G138" s="12" t="inlineStr">
        <is>
          <t>台北市信義區松仁路100號20樓</t>
        </is>
      </c>
      <c r="H138" s="12" t="inlineStr"/>
      <c r="I138" s="10" t="inlineStr"/>
      <c r="J138" s="11" t="inlineStr"/>
      <c r="K138" s="10" t="inlineStr">
        <is>
          <t>北市</t>
        </is>
      </c>
      <c r="L138" s="10" t="inlineStr">
        <is>
          <t>093/06/10</t>
        </is>
      </c>
      <c r="M138" s="10" t="inlineStr">
        <is>
          <t>2643</t>
        </is>
      </c>
      <c r="N138" s="10" t="inlineStr">
        <is>
          <t>2026-06-05</t>
        </is>
      </c>
      <c r="O138" s="11" t="inlineStr">
        <is>
          <t>https://www.roccpa.org.tw/member_search/more?id=DED63CE8-6D2B-4358-A72B-594029927B21</t>
        </is>
      </c>
    </row>
    <row r="139">
      <c r="A139" s="10" t="n">
        <v>138</v>
      </c>
      <c r="B139" s="11" t="inlineStr">
        <is>
          <t>勤業眾信聯合會計師事務所</t>
        </is>
      </c>
      <c r="C139" s="11" t="inlineStr">
        <is>
          <t>Deloitte 勤業眾信</t>
        </is>
      </c>
      <c r="D139" s="11" t="inlineStr">
        <is>
          <t>陳招美</t>
        </is>
      </c>
      <c r="E139" s="10" t="inlineStr">
        <is>
          <t>台北總所</t>
        </is>
      </c>
      <c r="F139" s="12" t="inlineStr">
        <is>
          <t>台北市信義區松仁路100號20樓</t>
        </is>
      </c>
      <c r="G139" s="12" t="inlineStr">
        <is>
          <t>台北市信義區松仁路100號20樓</t>
        </is>
      </c>
      <c r="H139" s="12" t="inlineStr"/>
      <c r="I139" s="10" t="inlineStr"/>
      <c r="J139" s="11" t="inlineStr"/>
      <c r="K139" s="10" t="inlineStr">
        <is>
          <t>北市</t>
        </is>
      </c>
      <c r="L139" s="10" t="inlineStr">
        <is>
          <t>090/01/10</t>
        </is>
      </c>
      <c r="M139" s="10" t="inlineStr">
        <is>
          <t>2329</t>
        </is>
      </c>
      <c r="N139" s="10" t="inlineStr">
        <is>
          <t>2026-06-05</t>
        </is>
      </c>
      <c r="O139" s="11" t="inlineStr">
        <is>
          <t>https://www.roccpa.org.tw/member_search/more?id=61DED338-C7EF-4FA6-BE34-399A695A04AA</t>
        </is>
      </c>
    </row>
    <row r="140">
      <c r="A140" s="10" t="n">
        <v>139</v>
      </c>
      <c r="B140" s="11" t="inlineStr">
        <is>
          <t>勤業眾信聯合會計師事務所</t>
        </is>
      </c>
      <c r="C140" s="11" t="inlineStr">
        <is>
          <t>Deloitte 勤業眾信</t>
        </is>
      </c>
      <c r="D140" s="11" t="inlineStr">
        <is>
          <t>陳文香</t>
        </is>
      </c>
      <c r="E140" s="10" t="inlineStr">
        <is>
          <t>台北總所</t>
        </is>
      </c>
      <c r="F140" s="12" t="inlineStr">
        <is>
          <t>台北市信義區松仁路100號20樓</t>
        </is>
      </c>
      <c r="G140" s="12" t="inlineStr">
        <is>
          <t>台北市信義區松仁路100號20樓</t>
        </is>
      </c>
      <c r="H140" s="12" t="inlineStr"/>
      <c r="I140" s="10" t="inlineStr">
        <is>
          <t>108/06/12</t>
        </is>
      </c>
      <c r="J140" s="11" t="inlineStr">
        <is>
          <t>全聯會一字第1080205</t>
        </is>
      </c>
      <c r="K140" s="10" t="inlineStr">
        <is>
          <t>北市</t>
        </is>
      </c>
      <c r="L140" s="10" t="inlineStr">
        <is>
          <t>108/06/12</t>
        </is>
      </c>
      <c r="M140" s="10" t="inlineStr">
        <is>
          <t>4169</t>
        </is>
      </c>
      <c r="N140" s="10" t="inlineStr">
        <is>
          <t>2026-06-05</t>
        </is>
      </c>
      <c r="O140" s="11" t="inlineStr">
        <is>
          <t>https://www.roccpa.org.tw/member_search/more?id=40A4D678-0281-4B53-99F2-17F44CD71BD9</t>
        </is>
      </c>
    </row>
    <row r="141">
      <c r="A141" s="10" t="n">
        <v>140</v>
      </c>
      <c r="B141" s="11" t="inlineStr">
        <is>
          <t>勤業眾信聯合會計師事務所</t>
        </is>
      </c>
      <c r="C141" s="11" t="inlineStr">
        <is>
          <t>Deloitte 勤業眾信</t>
        </is>
      </c>
      <c r="D141" s="11" t="inlineStr">
        <is>
          <t>陳昭伶</t>
        </is>
      </c>
      <c r="E141" s="10" t="inlineStr">
        <is>
          <t>台北總所</t>
        </is>
      </c>
      <c r="F141" s="12" t="inlineStr">
        <is>
          <t>台北市信義區松仁路100號20樓</t>
        </is>
      </c>
      <c r="G141" s="12" t="inlineStr">
        <is>
          <t>台北市信義區松仁路100號20樓</t>
        </is>
      </c>
      <c r="H141" s="12" t="inlineStr"/>
      <c r="I141" s="10" t="inlineStr"/>
      <c r="J141" s="11" t="inlineStr"/>
      <c r="K141" s="10" t="inlineStr">
        <is>
          <t>北市</t>
        </is>
      </c>
      <c r="L141" s="10" t="inlineStr">
        <is>
          <t>093/11/17</t>
        </is>
      </c>
      <c r="M141" s="10" t="inlineStr">
        <is>
          <t>2688</t>
        </is>
      </c>
      <c r="N141" s="10" t="inlineStr">
        <is>
          <t>2026-06-05</t>
        </is>
      </c>
      <c r="O141" s="11" t="inlineStr">
        <is>
          <t>https://www.roccpa.org.tw/member_search/more?id=C55F8062-8A9B-4BA0-8A2D-0E690012DA8E</t>
        </is>
      </c>
    </row>
    <row r="142">
      <c r="A142" s="10" t="n">
        <v>141</v>
      </c>
      <c r="B142" s="11" t="inlineStr">
        <is>
          <t>勤業眾信聯合會計師事務所</t>
        </is>
      </c>
      <c r="C142" s="11" t="inlineStr">
        <is>
          <t>Deloitte 勤業眾信</t>
        </is>
      </c>
      <c r="D142" s="11" t="inlineStr">
        <is>
          <t>陳昭宇</t>
        </is>
      </c>
      <c r="E142" s="10" t="inlineStr">
        <is>
          <t>台北總所</t>
        </is>
      </c>
      <c r="F142" s="12" t="inlineStr">
        <is>
          <t>台北市信義區松仁路100號20樓</t>
        </is>
      </c>
      <c r="G142" s="12" t="inlineStr">
        <is>
          <t>台北市信義區松仁路100號20樓</t>
        </is>
      </c>
      <c r="H142" s="12" t="inlineStr"/>
      <c r="I142" s="10" t="inlineStr">
        <is>
          <t>111/06/10</t>
        </is>
      </c>
      <c r="J142" s="11" t="inlineStr">
        <is>
          <t>全聯會一字第1110218</t>
        </is>
      </c>
      <c r="K142" s="10" t="inlineStr">
        <is>
          <t>北市</t>
        </is>
      </c>
      <c r="L142" s="10" t="inlineStr">
        <is>
          <t>111/06/10</t>
        </is>
      </c>
      <c r="M142" s="10" t="inlineStr">
        <is>
          <t>4430</t>
        </is>
      </c>
      <c r="N142" s="10" t="inlineStr">
        <is>
          <t>2026-06-05</t>
        </is>
      </c>
      <c r="O142" s="11" t="inlineStr">
        <is>
          <t>https://www.roccpa.org.tw/member_search/more?id=63760319-EC84-4EE7-B101-9A1A25F30D03</t>
        </is>
      </c>
    </row>
    <row r="143">
      <c r="A143" s="10" t="n">
        <v>142</v>
      </c>
      <c r="B143" s="11" t="inlineStr">
        <is>
          <t>勤業眾信聯合會計師事務所</t>
        </is>
      </c>
      <c r="C143" s="11" t="inlineStr">
        <is>
          <t>Deloitte 勤業眾信</t>
        </is>
      </c>
      <c r="D143" s="11" t="inlineStr">
        <is>
          <t>陳盈州</t>
        </is>
      </c>
      <c r="E143" s="10" t="inlineStr">
        <is>
          <t>台北總所</t>
        </is>
      </c>
      <c r="F143" s="12" t="inlineStr">
        <is>
          <t>台北市信義區松仁路100號20樓</t>
        </is>
      </c>
      <c r="G143" s="12" t="inlineStr">
        <is>
          <t>台北市信義區松仁路100號20樓</t>
        </is>
      </c>
      <c r="H143" s="12" t="inlineStr"/>
      <c r="I143" s="10" t="inlineStr">
        <is>
          <t>105/06/01</t>
        </is>
      </c>
      <c r="J143" s="11" t="inlineStr">
        <is>
          <t>全聯會一字第1050251</t>
        </is>
      </c>
      <c r="K143" s="10" t="inlineStr">
        <is>
          <t>北市</t>
        </is>
      </c>
      <c r="L143" s="10" t="inlineStr">
        <is>
          <t>105/06/13</t>
        </is>
      </c>
      <c r="M143" s="10" t="inlineStr">
        <is>
          <t>3938</t>
        </is>
      </c>
      <c r="N143" s="10" t="inlineStr">
        <is>
          <t>2026-06-05</t>
        </is>
      </c>
      <c r="O143" s="11" t="inlineStr">
        <is>
          <t>https://www.roccpa.org.tw/member_search/more?id=1EE180DA-6628-48E3-9867-33F8ADDDC8B2</t>
        </is>
      </c>
    </row>
    <row r="144">
      <c r="A144" s="10" t="n">
        <v>143</v>
      </c>
      <c r="B144" s="11" t="inlineStr">
        <is>
          <t>勤業眾信聯合會計師事務所</t>
        </is>
      </c>
      <c r="C144" s="11" t="inlineStr">
        <is>
          <t>Deloitte 勤業眾信</t>
        </is>
      </c>
      <c r="D144" s="11" t="inlineStr">
        <is>
          <t>陳致源</t>
        </is>
      </c>
      <c r="E144" s="10" t="inlineStr">
        <is>
          <t>台北總所</t>
        </is>
      </c>
      <c r="F144" s="12" t="inlineStr">
        <is>
          <t>台北市信義區松仁路100號20樓</t>
        </is>
      </c>
      <c r="G144" s="12" t="inlineStr">
        <is>
          <t>台北市信義區松仁路100號20樓</t>
        </is>
      </c>
      <c r="H144" s="12" t="inlineStr"/>
      <c r="I144" s="10" t="inlineStr">
        <is>
          <t>106/06/01</t>
        </is>
      </c>
      <c r="J144" s="11" t="inlineStr">
        <is>
          <t>全聯會一字第1060199</t>
        </is>
      </c>
      <c r="K144" s="10" t="inlineStr">
        <is>
          <t>北市</t>
        </is>
      </c>
      <c r="L144" s="10" t="inlineStr">
        <is>
          <t>106/06/13</t>
        </is>
      </c>
      <c r="M144" s="10" t="inlineStr">
        <is>
          <t>4021</t>
        </is>
      </c>
      <c r="N144" s="10" t="inlineStr">
        <is>
          <t>2026-06-05</t>
        </is>
      </c>
      <c r="O144" s="11" t="inlineStr">
        <is>
          <t>https://www.roccpa.org.tw/member_search/more?id=B435F4A3-BA2A-4C9E-A417-5728DF274840</t>
        </is>
      </c>
    </row>
    <row r="145">
      <c r="A145" s="10" t="n">
        <v>144</v>
      </c>
      <c r="B145" s="11" t="inlineStr">
        <is>
          <t>勤業眾信聯合會計師事務所</t>
        </is>
      </c>
      <c r="C145" s="11" t="inlineStr">
        <is>
          <t>Deloitte 勤業眾信</t>
        </is>
      </c>
      <c r="D145" s="11" t="inlineStr">
        <is>
          <t>陳薔旬</t>
        </is>
      </c>
      <c r="E145" s="10" t="inlineStr">
        <is>
          <t>台北總所</t>
        </is>
      </c>
      <c r="F145" s="12" t="inlineStr">
        <is>
          <t>台北市信義區松仁路100號20樓</t>
        </is>
      </c>
      <c r="G145" s="12" t="inlineStr">
        <is>
          <t>台北市信義區松仁路100號20樓</t>
        </is>
      </c>
      <c r="H145" s="12" t="inlineStr"/>
      <c r="I145" s="10" t="inlineStr">
        <is>
          <t>106/06/01</t>
        </is>
      </c>
      <c r="J145" s="11" t="inlineStr">
        <is>
          <t>全聯會一字第1060200</t>
        </is>
      </c>
      <c r="K145" s="10" t="inlineStr">
        <is>
          <t>北市</t>
        </is>
      </c>
      <c r="L145" s="10" t="inlineStr">
        <is>
          <t>106/06/13</t>
        </is>
      </c>
      <c r="M145" s="10" t="inlineStr">
        <is>
          <t>4022</t>
        </is>
      </c>
      <c r="N145" s="10" t="inlineStr">
        <is>
          <t>2026-06-05</t>
        </is>
      </c>
      <c r="O145" s="11" t="inlineStr">
        <is>
          <t>https://www.roccpa.org.tw/member_search/more?id=6B5B435B-5B93-4D2E-8E1B-7E4E9511D752</t>
        </is>
      </c>
    </row>
    <row r="146">
      <c r="A146" s="10" t="n">
        <v>145</v>
      </c>
      <c r="B146" s="11" t="inlineStr">
        <is>
          <t>勤業眾信聯合會計師事務所</t>
        </is>
      </c>
      <c r="C146" s="11" t="inlineStr">
        <is>
          <t>Deloitte 勤業眾信</t>
        </is>
      </c>
      <c r="D146" s="11" t="inlineStr">
        <is>
          <t>陳重成</t>
        </is>
      </c>
      <c r="E146" s="10" t="inlineStr">
        <is>
          <t>台北總所</t>
        </is>
      </c>
      <c r="F146" s="12" t="inlineStr">
        <is>
          <t>台北市信義區松仁路100號20樓</t>
        </is>
      </c>
      <c r="G146" s="12" t="inlineStr">
        <is>
          <t>台北市信義區松仁路100號20樓</t>
        </is>
      </c>
      <c r="H146" s="12" t="inlineStr"/>
      <c r="I146" s="10" t="inlineStr">
        <is>
          <t>104/06/01</t>
        </is>
      </c>
      <c r="J146" s="11" t="inlineStr">
        <is>
          <t>全聯會一字第1040176</t>
        </is>
      </c>
      <c r="K146" s="10" t="inlineStr">
        <is>
          <t>北市</t>
        </is>
      </c>
      <c r="L146" s="10" t="inlineStr">
        <is>
          <t>104/06/11</t>
        </is>
      </c>
      <c r="M146" s="10" t="inlineStr">
        <is>
          <t>3837</t>
        </is>
      </c>
      <c r="N146" s="10" t="inlineStr">
        <is>
          <t>2026-06-05</t>
        </is>
      </c>
      <c r="O146" s="11" t="inlineStr">
        <is>
          <t>https://www.roccpa.org.tw/member_search/more?id=4761AB5F-878B-42BC-B3AC-77A8CD65E0DF</t>
        </is>
      </c>
    </row>
    <row r="147">
      <c r="A147" s="10" t="n">
        <v>146</v>
      </c>
      <c r="B147" s="11" t="inlineStr">
        <is>
          <t>勤業眾信聯合會計師事務所</t>
        </is>
      </c>
      <c r="C147" s="11" t="inlineStr">
        <is>
          <t>Deloitte 勤業眾信</t>
        </is>
      </c>
      <c r="D147" s="11" t="inlineStr">
        <is>
          <t>韓承皓</t>
        </is>
      </c>
      <c r="E147" s="10" t="inlineStr">
        <is>
          <t>台北總所</t>
        </is>
      </c>
      <c r="F147" s="12" t="inlineStr">
        <is>
          <t>台北市信義區松仁路100號20樓</t>
        </is>
      </c>
      <c r="G147" s="12" t="inlineStr">
        <is>
          <t>台北市信義區松仁路100號20樓</t>
        </is>
      </c>
      <c r="H147" s="12" t="inlineStr"/>
      <c r="I147" s="10" t="inlineStr">
        <is>
          <t>114/06/18</t>
        </is>
      </c>
      <c r="J147" s="11" t="inlineStr">
        <is>
          <t>全聯會一字第1140000247號</t>
        </is>
      </c>
      <c r="K147" s="10" t="inlineStr">
        <is>
          <t>北市</t>
        </is>
      </c>
      <c r="L147" s="10" t="inlineStr">
        <is>
          <t>114/06/18</t>
        </is>
      </c>
      <c r="M147" s="10" t="inlineStr">
        <is>
          <t>4731</t>
        </is>
      </c>
      <c r="N147" s="10" t="inlineStr">
        <is>
          <t>2026-06-05</t>
        </is>
      </c>
      <c r="O147" s="11" t="inlineStr">
        <is>
          <t>https://www.roccpa.org.tw/member_search/more?id=776CB475-328E-44A4-804C-F62567BD6E1B</t>
        </is>
      </c>
    </row>
    <row r="148">
      <c r="A148" s="10" t="n">
        <v>147</v>
      </c>
      <c r="B148" s="11" t="inlineStr">
        <is>
          <t>勤業眾信聯合會計師事務所</t>
        </is>
      </c>
      <c r="C148" s="11" t="inlineStr">
        <is>
          <t>Deloitte 勤業眾信</t>
        </is>
      </c>
      <c r="D148" s="11" t="inlineStr">
        <is>
          <t>馬偉峻</t>
        </is>
      </c>
      <c r="E148" s="10" t="inlineStr">
        <is>
          <t>台北總所</t>
        </is>
      </c>
      <c r="F148" s="12" t="inlineStr">
        <is>
          <t>台北市信義區松仁路100號20樓</t>
        </is>
      </c>
      <c r="G148" s="12" t="inlineStr">
        <is>
          <t>台北市信義區松仁路100號20樓</t>
        </is>
      </c>
      <c r="H148" s="12" t="inlineStr"/>
      <c r="I148" s="10" t="inlineStr">
        <is>
          <t>112/06/08</t>
        </is>
      </c>
      <c r="J148" s="11" t="inlineStr">
        <is>
          <t>全聯會一字第1120221</t>
        </is>
      </c>
      <c r="K148" s="10" t="inlineStr">
        <is>
          <t>北市</t>
        </is>
      </c>
      <c r="L148" s="10" t="inlineStr">
        <is>
          <t>112/06/08</t>
        </is>
      </c>
      <c r="M148" s="10" t="inlineStr">
        <is>
          <t>4527</t>
        </is>
      </c>
      <c r="N148" s="10" t="inlineStr">
        <is>
          <t>2026-06-05</t>
        </is>
      </c>
      <c r="O148" s="11" t="inlineStr">
        <is>
          <t>https://www.roccpa.org.tw/member_search/more?id=3EFFF40A-7437-4230-80E9-8462CCDA956C</t>
        </is>
      </c>
    </row>
    <row r="149">
      <c r="A149" s="10" t="n">
        <v>148</v>
      </c>
      <c r="B149" s="11" t="inlineStr">
        <is>
          <t>勤業眾信聯合會計師事務所</t>
        </is>
      </c>
      <c r="C149" s="11" t="inlineStr">
        <is>
          <t>Deloitte 勤業眾信</t>
        </is>
      </c>
      <c r="D149" s="11" t="inlineStr">
        <is>
          <t>黃國寧</t>
        </is>
      </c>
      <c r="E149" s="10" t="inlineStr">
        <is>
          <t>台北總所</t>
        </is>
      </c>
      <c r="F149" s="12" t="inlineStr">
        <is>
          <t>台北市信義區松仁路100號20樓</t>
        </is>
      </c>
      <c r="G149" s="12" t="inlineStr">
        <is>
          <t>台北市信義區松仁路100號20樓</t>
        </is>
      </c>
      <c r="H149" s="12" t="inlineStr"/>
      <c r="I149" s="10" t="inlineStr">
        <is>
          <t>110/06/09</t>
        </is>
      </c>
      <c r="J149" s="11" t="inlineStr">
        <is>
          <t>全聯會一字第1100224</t>
        </is>
      </c>
      <c r="K149" s="10" t="inlineStr">
        <is>
          <t>北市</t>
        </is>
      </c>
      <c r="L149" s="10" t="inlineStr">
        <is>
          <t>110/06/09</t>
        </is>
      </c>
      <c r="M149" s="10" t="inlineStr">
        <is>
          <t>4329</t>
        </is>
      </c>
      <c r="N149" s="10" t="inlineStr">
        <is>
          <t>2026-06-05</t>
        </is>
      </c>
      <c r="O149" s="11" t="inlineStr">
        <is>
          <t>https://www.roccpa.org.tw/member_search/more?id=89750D0C-414E-41A5-8293-66598389A550</t>
        </is>
      </c>
    </row>
    <row r="150">
      <c r="A150" s="10" t="n">
        <v>149</v>
      </c>
      <c r="B150" s="11" t="inlineStr">
        <is>
          <t>勤業眾信聯合會計師事務所</t>
        </is>
      </c>
      <c r="C150" s="11" t="inlineStr">
        <is>
          <t>Deloitte 勤業眾信</t>
        </is>
      </c>
      <c r="D150" s="11" t="inlineStr">
        <is>
          <t>黃堯麟</t>
        </is>
      </c>
      <c r="E150" s="10" t="inlineStr">
        <is>
          <t>台北總所</t>
        </is>
      </c>
      <c r="F150" s="12" t="inlineStr">
        <is>
          <t>台北市信義區松仁路100號20樓</t>
        </is>
      </c>
      <c r="G150" s="12" t="inlineStr">
        <is>
          <t>台北市信義區松仁路100號20樓</t>
        </is>
      </c>
      <c r="H150" s="12" t="inlineStr"/>
      <c r="I150" s="10" t="inlineStr">
        <is>
          <t>102/07/31</t>
        </is>
      </c>
      <c r="J150" s="11" t="inlineStr">
        <is>
          <t>全聯會一字第1020294</t>
        </is>
      </c>
      <c r="K150" s="10" t="inlineStr">
        <is>
          <t>北市</t>
        </is>
      </c>
      <c r="L150" s="10" t="inlineStr">
        <is>
          <t>102/08/02</t>
        </is>
      </c>
      <c r="M150" s="10" t="inlineStr">
        <is>
          <t>3606</t>
        </is>
      </c>
      <c r="N150" s="10" t="inlineStr">
        <is>
          <t>2026-06-05</t>
        </is>
      </c>
      <c r="O150" s="11" t="inlineStr">
        <is>
          <t>https://www.roccpa.org.tw/member_search/more?id=6B4C215F-A16E-49A0-A946-8009A9ABBE90</t>
        </is>
      </c>
    </row>
    <row r="151">
      <c r="A151" s="10" t="n">
        <v>150</v>
      </c>
      <c r="B151" s="11" t="inlineStr">
        <is>
          <t>勤業眾信聯合會計師事務所</t>
        </is>
      </c>
      <c r="C151" s="11" t="inlineStr">
        <is>
          <t>Deloitte 勤業眾信</t>
        </is>
      </c>
      <c r="D151" s="11" t="inlineStr">
        <is>
          <t>黃惠敏</t>
        </is>
      </c>
      <c r="E151" s="10" t="inlineStr">
        <is>
          <t>台北總所</t>
        </is>
      </c>
      <c r="F151" s="12" t="inlineStr">
        <is>
          <t>台北市信義區松仁路100號20樓</t>
        </is>
      </c>
      <c r="G151" s="12" t="inlineStr">
        <is>
          <t>台北市信義區松仁路100號20樓</t>
        </is>
      </c>
      <c r="H151" s="12" t="inlineStr"/>
      <c r="I151" s="10" t="inlineStr">
        <is>
          <t>107/06/04</t>
        </is>
      </c>
      <c r="J151" s="11" t="inlineStr">
        <is>
          <t>全聯會一字第1070242</t>
        </is>
      </c>
      <c r="K151" s="10" t="inlineStr">
        <is>
          <t>北市</t>
        </is>
      </c>
      <c r="L151" s="10" t="inlineStr">
        <is>
          <t>107/06/04</t>
        </is>
      </c>
      <c r="M151" s="10" t="inlineStr">
        <is>
          <t>4101</t>
        </is>
      </c>
      <c r="N151" s="10" t="inlineStr">
        <is>
          <t>2026-06-05</t>
        </is>
      </c>
      <c r="O151" s="11" t="inlineStr">
        <is>
          <t>https://www.roccpa.org.tw/member_search/more?id=21B56F57-AB2B-44CA-8EC3-F4A44F587838</t>
        </is>
      </c>
    </row>
    <row r="152">
      <c r="A152" s="10" t="n">
        <v>151</v>
      </c>
      <c r="B152" s="11" t="inlineStr">
        <is>
          <t>勤業眾信聯合會計師事務所</t>
        </is>
      </c>
      <c r="C152" s="11" t="inlineStr">
        <is>
          <t>Deloitte 勤業眾信</t>
        </is>
      </c>
      <c r="D152" s="11" t="inlineStr">
        <is>
          <t>黃毅民</t>
        </is>
      </c>
      <c r="E152" s="10" t="inlineStr">
        <is>
          <t>台北總所</t>
        </is>
      </c>
      <c r="F152" s="12" t="inlineStr">
        <is>
          <t>台北市信義區松仁路100號20樓</t>
        </is>
      </c>
      <c r="G152" s="12" t="inlineStr">
        <is>
          <t>台北市信義區松仁路100號20樓</t>
        </is>
      </c>
      <c r="H152" s="12" t="inlineStr"/>
      <c r="I152" s="10" t="inlineStr">
        <is>
          <t>103/05/30</t>
        </is>
      </c>
      <c r="J152" s="11" t="inlineStr">
        <is>
          <t>全聯會一字第1030214</t>
        </is>
      </c>
      <c r="K152" s="10" t="inlineStr">
        <is>
          <t>北市</t>
        </is>
      </c>
      <c r="L152" s="10" t="inlineStr">
        <is>
          <t>103/06/12</t>
        </is>
      </c>
      <c r="M152" s="10" t="inlineStr">
        <is>
          <t>3708</t>
        </is>
      </c>
      <c r="N152" s="10" t="inlineStr">
        <is>
          <t>2026-06-05</t>
        </is>
      </c>
      <c r="O152" s="11" t="inlineStr">
        <is>
          <t>https://www.roccpa.org.tw/member_search/more?id=56E2077A-007E-4411-85FF-4CDB201209BE</t>
        </is>
      </c>
    </row>
    <row r="153">
      <c r="A153" s="10" t="n">
        <v>152</v>
      </c>
      <c r="B153" s="11" t="inlineStr">
        <is>
          <t>勤業眾信聯合會計師事務所</t>
        </is>
      </c>
      <c r="C153" s="11" t="inlineStr">
        <is>
          <t>Deloitte 勤業眾信</t>
        </is>
      </c>
      <c r="D153" s="11" t="inlineStr">
        <is>
          <t>黃秀椿</t>
        </is>
      </c>
      <c r="E153" s="10" t="inlineStr">
        <is>
          <t>台北總所</t>
        </is>
      </c>
      <c r="F153" s="12" t="inlineStr">
        <is>
          <t>台北市信義區松仁路100號20樓</t>
        </is>
      </c>
      <c r="G153" s="12" t="inlineStr">
        <is>
          <t>台北市信義區松仁路100號20樓</t>
        </is>
      </c>
      <c r="H153" s="12" t="inlineStr"/>
      <c r="I153" s="10" t="inlineStr"/>
      <c r="J153" s="11" t="inlineStr"/>
      <c r="K153" s="10" t="inlineStr">
        <is>
          <t>北市</t>
        </is>
      </c>
      <c r="L153" s="10" t="inlineStr">
        <is>
          <t>087/08/01</t>
        </is>
      </c>
      <c r="M153" s="10" t="inlineStr">
        <is>
          <t>2050</t>
        </is>
      </c>
      <c r="N153" s="10" t="inlineStr">
        <is>
          <t>2026-06-05</t>
        </is>
      </c>
      <c r="O153" s="11" t="inlineStr">
        <is>
          <t>https://www.roccpa.org.tw/member_search/more?id=456272EA-9990-4401-B73F-230EE5D155F3</t>
        </is>
      </c>
    </row>
    <row r="154">
      <c r="A154" s="10" t="n">
        <v>153</v>
      </c>
      <c r="B154" s="11" t="inlineStr">
        <is>
          <t>勤業眾信聯合會計師事務所</t>
        </is>
      </c>
      <c r="C154" s="11" t="inlineStr">
        <is>
          <t>Deloitte 勤業眾信</t>
        </is>
      </c>
      <c r="D154" s="11" t="inlineStr">
        <is>
          <t>黃龍一</t>
        </is>
      </c>
      <c r="E154" s="10" t="inlineStr">
        <is>
          <t>台北總所</t>
        </is>
      </c>
      <c r="F154" s="12" t="inlineStr">
        <is>
          <t>台北市信義區松仁路100號20樓</t>
        </is>
      </c>
      <c r="G154" s="12" t="inlineStr">
        <is>
          <t>台北市信義區松仁路100號20樓</t>
        </is>
      </c>
      <c r="H154" s="12" t="inlineStr"/>
      <c r="I154" s="10" t="inlineStr">
        <is>
          <t>115/06/15</t>
        </is>
      </c>
      <c r="J154" s="11" t="inlineStr">
        <is>
          <t>全聯會一字第1150000288號</t>
        </is>
      </c>
      <c r="K154" s="10" t="inlineStr">
        <is>
          <t>北市</t>
        </is>
      </c>
      <c r="L154" s="10" t="inlineStr">
        <is>
          <t>115/06/15</t>
        </is>
      </c>
      <c r="M154" s="10" t="inlineStr">
        <is>
          <t>4895</t>
        </is>
      </c>
      <c r="N154" s="10" t="inlineStr">
        <is>
          <t>2026-06-23</t>
        </is>
      </c>
      <c r="O154" s="11" t="inlineStr">
        <is>
          <t>https://www.roccpa.org.tw/member_search/more?id=437a6714b73446c9b2cf5466316f8875</t>
        </is>
      </c>
    </row>
    <row r="155">
      <c r="A155" s="10" t="n">
        <v>154</v>
      </c>
      <c r="B155" s="11" t="inlineStr">
        <is>
          <t>勤業眾信聯合會計師事務所</t>
        </is>
      </c>
      <c r="C155" s="11" t="inlineStr">
        <is>
          <t>Deloitte 勤業眾信</t>
        </is>
      </c>
      <c r="D155" s="11" t="inlineStr">
        <is>
          <t>龔則立</t>
        </is>
      </c>
      <c r="E155" s="10" t="inlineStr">
        <is>
          <t>台北總所</t>
        </is>
      </c>
      <c r="F155" s="12" t="inlineStr">
        <is>
          <t>台北市信義區松仁路100號20樓</t>
        </is>
      </c>
      <c r="G155" s="12" t="inlineStr">
        <is>
          <t>台北市信義區松仁路100號20樓</t>
        </is>
      </c>
      <c r="H155" s="12" t="inlineStr"/>
      <c r="I155" s="10" t="inlineStr">
        <is>
          <t>100/05/25</t>
        </is>
      </c>
      <c r="J155" s="11" t="inlineStr">
        <is>
          <t>全聯會一字第1000212</t>
        </is>
      </c>
      <c r="K155" s="10" t="inlineStr">
        <is>
          <t>北市</t>
        </is>
      </c>
      <c r="L155" s="10" t="inlineStr">
        <is>
          <t>100/06/07</t>
        </is>
      </c>
      <c r="M155" s="10" t="inlineStr">
        <is>
          <t>3359</t>
        </is>
      </c>
      <c r="N155" s="10" t="inlineStr">
        <is>
          <t>2026-06-05</t>
        </is>
      </c>
      <c r="O155" s="11" t="inlineStr">
        <is>
          <t>https://www.roccpa.org.tw/member_search/more?id=31837FA6-171B-4012-81E7-A5B578BB70D8</t>
        </is>
      </c>
    </row>
    <row r="156">
      <c r="A156" s="10" t="n">
        <v>155</v>
      </c>
      <c r="B156" s="11" t="inlineStr">
        <is>
          <t>勤業眾信聯合會計師事務所</t>
        </is>
      </c>
      <c r="C156" s="11" t="inlineStr">
        <is>
          <t>Deloitte 勤業眾信</t>
        </is>
      </c>
      <c r="D156" s="11" t="inlineStr">
        <is>
          <t>張雅芸</t>
        </is>
      </c>
      <c r="E156" s="10" t="inlineStr">
        <is>
          <t>新竹分所</t>
        </is>
      </c>
      <c r="F156" s="12" t="inlineStr">
        <is>
          <t>新竹市科學工業園區展業一路2號6樓</t>
        </is>
      </c>
      <c r="G156" s="12" t="inlineStr">
        <is>
          <t>台北市信義區松仁路100號20樓</t>
        </is>
      </c>
      <c r="H156" s="12" t="inlineStr">
        <is>
          <t>新竹市科學工業園區展業一路2號6樓</t>
        </is>
      </c>
      <c r="I156" s="10" t="inlineStr">
        <is>
          <t>111/06/10</t>
        </is>
      </c>
      <c r="J156" s="11" t="inlineStr">
        <is>
          <t>全聯會一字第1110212</t>
        </is>
      </c>
      <c r="K156" s="10" t="inlineStr">
        <is>
          <t>省</t>
        </is>
      </c>
      <c r="L156" s="10" t="inlineStr">
        <is>
          <t>111/06/10</t>
        </is>
      </c>
      <c r="M156" s="10" t="inlineStr">
        <is>
          <t>4875</t>
        </is>
      </c>
      <c r="N156" s="10" t="inlineStr">
        <is>
          <t>2026-06-05</t>
        </is>
      </c>
      <c r="O156" s="11" t="inlineStr">
        <is>
          <t>https://www.roccpa.org.tw/member_search/more?id=A2E1250D-91D5-45AF-A547-C8C3754DB600</t>
        </is>
      </c>
    </row>
    <row r="157">
      <c r="A157" s="10" t="n">
        <v>156</v>
      </c>
      <c r="B157" s="11" t="inlineStr">
        <is>
          <t>勤業眾信聯合會計師事務所</t>
        </is>
      </c>
      <c r="C157" s="11" t="inlineStr">
        <is>
          <t>Deloitte 勤業眾信</t>
        </is>
      </c>
      <c r="D157" s="11" t="inlineStr">
        <is>
          <t>方蘇立</t>
        </is>
      </c>
      <c r="E157" s="10" t="inlineStr">
        <is>
          <t>新竹分所</t>
        </is>
      </c>
      <c r="F157" s="12" t="inlineStr">
        <is>
          <t>新竹市科學工業園區展業一路2號6樓</t>
        </is>
      </c>
      <c r="G157" s="12" t="inlineStr">
        <is>
          <t>台北市信義區松仁路100號20樓</t>
        </is>
      </c>
      <c r="H157" s="12" t="inlineStr">
        <is>
          <t>新竹市科學工業園區展業一路2號6樓</t>
        </is>
      </c>
      <c r="I157" s="10" t="inlineStr"/>
      <c r="J157" s="11" t="inlineStr"/>
      <c r="K157" s="10" t="inlineStr">
        <is>
          <t>省</t>
        </is>
      </c>
      <c r="L157" s="10" t="inlineStr">
        <is>
          <t>094/12/16</t>
        </is>
      </c>
      <c r="M157" s="10" t="inlineStr">
        <is>
          <t>3226</t>
        </is>
      </c>
      <c r="N157" s="10" t="inlineStr">
        <is>
          <t>2026-06-05</t>
        </is>
      </c>
      <c r="O157" s="11" t="inlineStr">
        <is>
          <t>https://www.roccpa.org.tw/member_search/more?id=0DE8EC87-CE31-41B9-9A43-BE075A957242</t>
        </is>
      </c>
    </row>
    <row r="158">
      <c r="A158" s="10" t="n">
        <v>157</v>
      </c>
      <c r="B158" s="11" t="inlineStr">
        <is>
          <t>勤業眾信聯合會計師事務所</t>
        </is>
      </c>
      <c r="C158" s="11" t="inlineStr">
        <is>
          <t>Deloitte 勤業眾信</t>
        </is>
      </c>
      <c r="D158" s="11" t="inlineStr">
        <is>
          <t>朱光輝</t>
        </is>
      </c>
      <c r="E158" s="10" t="inlineStr">
        <is>
          <t>新竹分所</t>
        </is>
      </c>
      <c r="F158" s="12" t="inlineStr">
        <is>
          <t>新竹市科學工業園區展業一路2號6樓</t>
        </is>
      </c>
      <c r="G158" s="12" t="inlineStr">
        <is>
          <t>台北市信義區松仁路100號20樓</t>
        </is>
      </c>
      <c r="H158" s="12" t="inlineStr">
        <is>
          <t>新竹市科學工業園區展業一路2號6樓</t>
        </is>
      </c>
      <c r="I158" s="10" t="inlineStr">
        <is>
          <t>101/06/04</t>
        </is>
      </c>
      <c r="J158" s="11" t="inlineStr">
        <is>
          <t>全聯會一字第1010183</t>
        </is>
      </c>
      <c r="K158" s="10" t="inlineStr">
        <is>
          <t>省</t>
        </is>
      </c>
      <c r="L158" s="10" t="inlineStr">
        <is>
          <t>101/06/13</t>
        </is>
      </c>
      <c r="M158" s="10" t="inlineStr">
        <is>
          <t>3975</t>
        </is>
      </c>
      <c r="N158" s="10" t="inlineStr">
        <is>
          <t>2026-06-05</t>
        </is>
      </c>
      <c r="O158" s="11" t="inlineStr">
        <is>
          <t>https://www.roccpa.org.tw/member_search/more?id=21F288DD-0120-4E41-9224-5E954DFDAA80</t>
        </is>
      </c>
    </row>
    <row r="159">
      <c r="A159" s="10" t="n">
        <v>158</v>
      </c>
      <c r="B159" s="11" t="inlineStr">
        <is>
          <t>勤業眾信聯合會計師事務所</t>
        </is>
      </c>
      <c r="C159" s="11" t="inlineStr">
        <is>
          <t>Deloitte 勤業眾信</t>
        </is>
      </c>
      <c r="D159" s="11" t="inlineStr">
        <is>
          <t>林尚志</t>
        </is>
      </c>
      <c r="E159" s="10" t="inlineStr">
        <is>
          <t>新竹分所</t>
        </is>
      </c>
      <c r="F159" s="12" t="inlineStr">
        <is>
          <t>新竹市科學工業園區展業一路2號6樓</t>
        </is>
      </c>
      <c r="G159" s="12" t="inlineStr">
        <is>
          <t>台北市信義區松仁路100號20樓</t>
        </is>
      </c>
      <c r="H159" s="12" t="inlineStr">
        <is>
          <t>新竹市科學工業園區展業一路2號6樓</t>
        </is>
      </c>
      <c r="I159" s="10" t="inlineStr">
        <is>
          <t>109/06/10</t>
        </is>
      </c>
      <c r="J159" s="11" t="inlineStr">
        <is>
          <t>全聯會一字第1090211</t>
        </is>
      </c>
      <c r="K159" s="10" t="inlineStr">
        <is>
          <t>省</t>
        </is>
      </c>
      <c r="L159" s="10" t="inlineStr">
        <is>
          <t>109/06/10</t>
        </is>
      </c>
      <c r="M159" s="10" t="inlineStr">
        <is>
          <t>4755</t>
        </is>
      </c>
      <c r="N159" s="10" t="inlineStr">
        <is>
          <t>2026-06-05</t>
        </is>
      </c>
      <c r="O159" s="11" t="inlineStr">
        <is>
          <t>https://www.roccpa.org.tw/member_search/more?id=AA743C31-58DD-4A06-A301-EE7A4AAA9FC1</t>
        </is>
      </c>
    </row>
    <row r="160">
      <c r="A160" s="10" t="n">
        <v>159</v>
      </c>
      <c r="B160" s="11" t="inlineStr">
        <is>
          <t>勤業眾信聯合會計師事務所</t>
        </is>
      </c>
      <c r="C160" s="11" t="inlineStr">
        <is>
          <t>Deloitte 勤業眾信</t>
        </is>
      </c>
      <c r="D160" s="11" t="inlineStr">
        <is>
          <t>林心彤</t>
        </is>
      </c>
      <c r="E160" s="10" t="inlineStr">
        <is>
          <t>新竹分所</t>
        </is>
      </c>
      <c r="F160" s="12" t="inlineStr">
        <is>
          <t>新竹市科學工業園區展業一路2號6樓</t>
        </is>
      </c>
      <c r="G160" s="12" t="inlineStr">
        <is>
          <t>台北市信義區松仁路100號20樓</t>
        </is>
      </c>
      <c r="H160" s="12" t="inlineStr">
        <is>
          <t>新竹市科學工業園區展業一路2號6樓</t>
        </is>
      </c>
      <c r="I160" s="10" t="inlineStr">
        <is>
          <t>111/06/10</t>
        </is>
      </c>
      <c r="J160" s="11" t="inlineStr">
        <is>
          <t>全聯會一字第1110213</t>
        </is>
      </c>
      <c r="K160" s="10" t="inlineStr">
        <is>
          <t>省</t>
        </is>
      </c>
      <c r="L160" s="10" t="inlineStr">
        <is>
          <t>111/06/10</t>
        </is>
      </c>
      <c r="M160" s="10" t="inlineStr">
        <is>
          <t>4876</t>
        </is>
      </c>
      <c r="N160" s="10" t="inlineStr">
        <is>
          <t>2026-06-05</t>
        </is>
      </c>
      <c r="O160" s="11" t="inlineStr">
        <is>
          <t>https://www.roccpa.org.tw/member_search/more?id=3606BE24-F530-45CF-A488-0DFF8DE38A17</t>
        </is>
      </c>
    </row>
    <row r="161">
      <c r="A161" s="10" t="n">
        <v>160</v>
      </c>
      <c r="B161" s="11" t="inlineStr">
        <is>
          <t>勤業眾信聯合會計師事務所</t>
        </is>
      </c>
      <c r="C161" s="11" t="inlineStr">
        <is>
          <t>Deloitte 勤業眾信</t>
        </is>
      </c>
      <c r="D161" s="11" t="inlineStr">
        <is>
          <t>林政治</t>
        </is>
      </c>
      <c r="E161" s="10" t="inlineStr">
        <is>
          <t>新竹分所</t>
        </is>
      </c>
      <c r="F161" s="12" t="inlineStr">
        <is>
          <t>新竹市科學工業園區展業一路2號6樓</t>
        </is>
      </c>
      <c r="G161" s="12" t="inlineStr">
        <is>
          <t>台北市信義區松仁路100號20樓</t>
        </is>
      </c>
      <c r="H161" s="12" t="inlineStr">
        <is>
          <t>新竹市科學工業園區展業一路2號6樓</t>
        </is>
      </c>
      <c r="I161" s="10" t="inlineStr"/>
      <c r="J161" s="11" t="inlineStr"/>
      <c r="K161" s="10" t="inlineStr">
        <is>
          <t>省</t>
        </is>
      </c>
      <c r="L161" s="10" t="inlineStr">
        <is>
          <t>093/12/03</t>
        </is>
      </c>
      <c r="M161" s="10" t="inlineStr">
        <is>
          <t>3103</t>
        </is>
      </c>
      <c r="N161" s="10" t="inlineStr">
        <is>
          <t>2026-06-05</t>
        </is>
      </c>
      <c r="O161" s="11" t="inlineStr">
        <is>
          <t>https://www.roccpa.org.tw/member_search/more?id=4F1BA771-BC4B-463C-B82D-DE6EF39ADA9A</t>
        </is>
      </c>
    </row>
    <row r="162">
      <c r="A162" s="10" t="n">
        <v>161</v>
      </c>
      <c r="B162" s="11" t="inlineStr">
        <is>
          <t>勤業眾信聯合會計師事務所</t>
        </is>
      </c>
      <c r="C162" s="11" t="inlineStr">
        <is>
          <t>Deloitte 勤業眾信</t>
        </is>
      </c>
      <c r="D162" s="11" t="inlineStr">
        <is>
          <t>温智源</t>
        </is>
      </c>
      <c r="E162" s="10" t="inlineStr">
        <is>
          <t>新竹分所</t>
        </is>
      </c>
      <c r="F162" s="12" t="inlineStr">
        <is>
          <t>新竹市科學工業園區展業一路2號6樓</t>
        </is>
      </c>
      <c r="G162" s="12" t="inlineStr">
        <is>
          <t>台北市信義區松仁路100號20樓</t>
        </is>
      </c>
      <c r="H162" s="12" t="inlineStr">
        <is>
          <t>新竹市科學工業園區展業一路2號6樓</t>
        </is>
      </c>
      <c r="I162" s="10" t="inlineStr">
        <is>
          <t>113/06/19</t>
        </is>
      </c>
      <c r="J162" s="11" t="inlineStr">
        <is>
          <t>全聯會一字第1130000289號</t>
        </is>
      </c>
      <c r="K162" s="10" t="inlineStr">
        <is>
          <t>省</t>
        </is>
      </c>
      <c r="L162" s="10" t="inlineStr">
        <is>
          <t>113/06/19</t>
        </is>
      </c>
      <c r="M162" s="10" t="inlineStr">
        <is>
          <t>5038</t>
        </is>
      </c>
      <c r="N162" s="10" t="inlineStr">
        <is>
          <t>2026-06-05</t>
        </is>
      </c>
      <c r="O162" s="11" t="inlineStr">
        <is>
          <t>https://www.roccpa.org.tw/member_search/more?id=51CB2F25-33A0-47B7-9929-696902931C2E</t>
        </is>
      </c>
    </row>
    <row r="163">
      <c r="A163" s="10" t="n">
        <v>162</v>
      </c>
      <c r="B163" s="11" t="inlineStr">
        <is>
          <t>勤業眾信聯合會計師事務所</t>
        </is>
      </c>
      <c r="C163" s="11" t="inlineStr">
        <is>
          <t>Deloitte 勤業眾信</t>
        </is>
      </c>
      <c r="D163" s="11" t="inlineStr">
        <is>
          <t>蔡美貞</t>
        </is>
      </c>
      <c r="E163" s="10" t="inlineStr">
        <is>
          <t>新竹分所</t>
        </is>
      </c>
      <c r="F163" s="12" t="inlineStr">
        <is>
          <t>新竹市科學工業園區展業一路2號6樓</t>
        </is>
      </c>
      <c r="G163" s="12" t="inlineStr">
        <is>
          <t>台北市信義區松仁路100號20樓</t>
        </is>
      </c>
      <c r="H163" s="12" t="inlineStr">
        <is>
          <t>新竹市科學工業園區展業一路2號6樓</t>
        </is>
      </c>
      <c r="I163" s="10" t="inlineStr">
        <is>
          <t>101/06/04</t>
        </is>
      </c>
      <c r="J163" s="11" t="inlineStr">
        <is>
          <t>全聯會一字第1010180</t>
        </is>
      </c>
      <c r="K163" s="10" t="inlineStr">
        <is>
          <t>省</t>
        </is>
      </c>
      <c r="L163" s="10" t="inlineStr">
        <is>
          <t>101/06/13</t>
        </is>
      </c>
      <c r="M163" s="10" t="inlineStr">
        <is>
          <t>3970</t>
        </is>
      </c>
      <c r="N163" s="10" t="inlineStr">
        <is>
          <t>2026-06-05</t>
        </is>
      </c>
      <c r="O163" s="11" t="inlineStr">
        <is>
          <t>https://www.roccpa.org.tw/member_search/more?id=AE0651F8-06EB-4593-BA43-F3EA339EF69A</t>
        </is>
      </c>
    </row>
    <row r="164">
      <c r="A164" s="10" t="n">
        <v>163</v>
      </c>
      <c r="B164" s="11" t="inlineStr">
        <is>
          <t>勤業眾信聯合會計師事務所</t>
        </is>
      </c>
      <c r="C164" s="11" t="inlineStr">
        <is>
          <t>Deloitte 勤業眾信</t>
        </is>
      </c>
      <c r="D164" s="11" t="inlineStr">
        <is>
          <t>鍾鳴遠</t>
        </is>
      </c>
      <c r="E164" s="10" t="inlineStr">
        <is>
          <t>新竹分所</t>
        </is>
      </c>
      <c r="F164" s="12" t="inlineStr">
        <is>
          <t>新竹市科學工業園區展業一路2號6樓</t>
        </is>
      </c>
      <c r="G164" s="12" t="inlineStr">
        <is>
          <t>台北市信義區松仁路100號20樓</t>
        </is>
      </c>
      <c r="H164" s="12" t="inlineStr">
        <is>
          <t>新竹市科學工業園區展業一路2號6樓</t>
        </is>
      </c>
      <c r="I164" s="10" t="inlineStr">
        <is>
          <t>105/06/01</t>
        </is>
      </c>
      <c r="J164" s="11" t="inlineStr">
        <is>
          <t>全聯會一字第1050254</t>
        </is>
      </c>
      <c r="K164" s="10" t="inlineStr">
        <is>
          <t>省</t>
        </is>
      </c>
      <c r="L164" s="10" t="inlineStr">
        <is>
          <t>105/06/15</t>
        </is>
      </c>
      <c r="M164" s="10" t="inlineStr">
        <is>
          <t>4505</t>
        </is>
      </c>
      <c r="N164" s="10" t="inlineStr">
        <is>
          <t>2026-06-05</t>
        </is>
      </c>
      <c r="O164" s="11" t="inlineStr">
        <is>
          <t>https://www.roccpa.org.tw/member_search/more?id=A15E22C1-2732-4FEB-97E8-AC50E54AF99F</t>
        </is>
      </c>
    </row>
    <row r="165">
      <c r="A165" s="10" t="n">
        <v>164</v>
      </c>
      <c r="B165" s="11" t="inlineStr">
        <is>
          <t>勤業眾信聯合會計師事務所</t>
        </is>
      </c>
      <c r="C165" s="11" t="inlineStr">
        <is>
          <t>Deloitte 勤業眾信</t>
        </is>
      </c>
      <c r="D165" s="11" t="inlineStr">
        <is>
          <t>陳彥君</t>
        </is>
      </c>
      <c r="E165" s="10" t="inlineStr">
        <is>
          <t>新竹分所</t>
        </is>
      </c>
      <c r="F165" s="12" t="inlineStr">
        <is>
          <t>新竹市科學工業園區展業一路2號6樓</t>
        </is>
      </c>
      <c r="G165" s="12" t="inlineStr">
        <is>
          <t>台北市信義區松仁路100號20樓</t>
        </is>
      </c>
      <c r="H165" s="12" t="inlineStr">
        <is>
          <t>新竹市科學工業園區展業一路2號6樓</t>
        </is>
      </c>
      <c r="I165" s="10" t="inlineStr">
        <is>
          <t>114/06/27</t>
        </is>
      </c>
      <c r="J165" s="11" t="inlineStr">
        <is>
          <t>全聯會一字第1140000253號</t>
        </is>
      </c>
      <c r="K165" s="10" t="inlineStr">
        <is>
          <t>省</t>
        </is>
      </c>
      <c r="L165" s="10" t="inlineStr">
        <is>
          <t>114/06/27</t>
        </is>
      </c>
      <c r="M165" s="10" t="inlineStr">
        <is>
          <t>5134</t>
        </is>
      </c>
      <c r="N165" s="10" t="inlineStr">
        <is>
          <t>2026-06-05</t>
        </is>
      </c>
      <c r="O165" s="11" t="inlineStr">
        <is>
          <t>https://www.roccpa.org.tw/member_search/more?id=00F63DDC-A19D-427C-B220-8E3383C44999</t>
        </is>
      </c>
    </row>
    <row r="166">
      <c r="A166" s="10" t="n">
        <v>165</v>
      </c>
      <c r="B166" s="11" t="inlineStr">
        <is>
          <t>勤業眾信聯合會計師事務所</t>
        </is>
      </c>
      <c r="C166" s="11" t="inlineStr">
        <is>
          <t>Deloitte 勤業眾信</t>
        </is>
      </c>
      <c r="D166" s="11" t="inlineStr">
        <is>
          <t>陳明煇</t>
        </is>
      </c>
      <c r="E166" s="10" t="inlineStr">
        <is>
          <t>新竹分所</t>
        </is>
      </c>
      <c r="F166" s="12" t="inlineStr">
        <is>
          <t>新竹市科學工業園區展業一路2號6樓</t>
        </is>
      </c>
      <c r="G166" s="12" t="inlineStr">
        <is>
          <t>台北市信義區松仁路100號20樓</t>
        </is>
      </c>
      <c r="H166" s="12" t="inlineStr">
        <is>
          <t>新竹市科學工業園區展業一路2號6樓</t>
        </is>
      </c>
      <c r="I166" s="10" t="inlineStr"/>
      <c r="J166" s="11" t="inlineStr"/>
      <c r="K166" s="10" t="inlineStr">
        <is>
          <t>省</t>
        </is>
      </c>
      <c r="L166" s="10" t="inlineStr">
        <is>
          <t>093/06/11</t>
        </is>
      </c>
      <c r="M166" s="10" t="inlineStr">
        <is>
          <t>3036</t>
        </is>
      </c>
      <c r="N166" s="10" t="inlineStr">
        <is>
          <t>2026-06-05</t>
        </is>
      </c>
      <c r="O166" s="11" t="inlineStr">
        <is>
          <t>https://www.roccpa.org.tw/member_search/more?id=A4E73053-69EB-4BCC-B55E-66DD8512E772</t>
        </is>
      </c>
    </row>
    <row r="167">
      <c r="A167" s="10" t="n">
        <v>166</v>
      </c>
      <c r="B167" s="11" t="inlineStr">
        <is>
          <t>勤業眾信聯合會計師事務所</t>
        </is>
      </c>
      <c r="C167" s="11" t="inlineStr">
        <is>
          <t>Deloitte 勤業眾信</t>
        </is>
      </c>
      <c r="D167" s="11" t="inlineStr">
        <is>
          <t>高逸欣</t>
        </is>
      </c>
      <c r="E167" s="10" t="inlineStr">
        <is>
          <t>新竹分所</t>
        </is>
      </c>
      <c r="F167" s="12" t="inlineStr">
        <is>
          <t>新竹市科學工業園區展業一路2號6樓</t>
        </is>
      </c>
      <c r="G167" s="12" t="inlineStr">
        <is>
          <t>台北市信義區松仁路100號20樓</t>
        </is>
      </c>
      <c r="H167" s="12" t="inlineStr">
        <is>
          <t>新竹市科學工業園區展業一路2號6樓</t>
        </is>
      </c>
      <c r="I167" s="10" t="inlineStr">
        <is>
          <t>098/05/27</t>
        </is>
      </c>
      <c r="J167" s="11" t="inlineStr">
        <is>
          <t>全聯會一字第09800198</t>
        </is>
      </c>
      <c r="K167" s="10" t="inlineStr">
        <is>
          <t>省</t>
        </is>
      </c>
      <c r="L167" s="10" t="inlineStr">
        <is>
          <t>098/06/18</t>
        </is>
      </c>
      <c r="M167" s="10" t="inlineStr">
        <is>
          <t>3579</t>
        </is>
      </c>
      <c r="N167" s="10" t="inlineStr">
        <is>
          <t>2026-06-05</t>
        </is>
      </c>
      <c r="O167" s="11" t="inlineStr">
        <is>
          <t>https://www.roccpa.org.tw/member_search/more?id=456B5ADF-57CD-4A53-B4A8-AAB056DD7C57</t>
        </is>
      </c>
    </row>
    <row r="168">
      <c r="A168" s="10" t="n">
        <v>167</v>
      </c>
      <c r="B168" s="11" t="inlineStr">
        <is>
          <t>勤業眾信聯合會計師事務所</t>
        </is>
      </c>
      <c r="C168" s="11" t="inlineStr">
        <is>
          <t>Deloitte 勤業眾信</t>
        </is>
      </c>
      <c r="D168" s="11" t="inlineStr">
        <is>
          <t>吳少君</t>
        </is>
      </c>
      <c r="E168" s="10" t="inlineStr">
        <is>
          <t>台中分所</t>
        </is>
      </c>
      <c r="F168" s="12" t="inlineStr">
        <is>
          <t>台中市西屯區惠中路一段88號22樓</t>
        </is>
      </c>
      <c r="G168" s="12" t="inlineStr">
        <is>
          <t>台北市信義區松仁路100號20樓</t>
        </is>
      </c>
      <c r="H168" s="12" t="inlineStr">
        <is>
          <t>台中市西屯區惠中路一段88號22樓</t>
        </is>
      </c>
      <c r="I168" s="10" t="inlineStr">
        <is>
          <t>110/06/09</t>
        </is>
      </c>
      <c r="J168" s="11" t="inlineStr">
        <is>
          <t>全聯會一字第1100236</t>
        </is>
      </c>
      <c r="K168" s="10" t="inlineStr">
        <is>
          <t>中市</t>
        </is>
      </c>
      <c r="L168" s="10" t="inlineStr">
        <is>
          <t>110/06/09</t>
        </is>
      </c>
      <c r="M168" s="10" t="inlineStr">
        <is>
          <t>1030</t>
        </is>
      </c>
      <c r="N168" s="10" t="inlineStr">
        <is>
          <t>2026-06-05</t>
        </is>
      </c>
      <c r="O168" s="11" t="inlineStr">
        <is>
          <t>https://www.roccpa.org.tw/member_search/more?id=D6482878-6116-44CB-8D03-1C1407341E8A</t>
        </is>
      </c>
    </row>
    <row r="169">
      <c r="A169" s="10" t="n">
        <v>168</v>
      </c>
      <c r="B169" s="11" t="inlineStr">
        <is>
          <t>勤業眾信聯合會計師事務所</t>
        </is>
      </c>
      <c r="C169" s="11" t="inlineStr">
        <is>
          <t>Deloitte 勤業眾信</t>
        </is>
      </c>
      <c r="D169" s="11" t="inlineStr">
        <is>
          <t>吳麗冬</t>
        </is>
      </c>
      <c r="E169" s="10" t="inlineStr">
        <is>
          <t>台中分所</t>
        </is>
      </c>
      <c r="F169" s="12" t="inlineStr">
        <is>
          <t>台中市西屯區惠中路一段88號22樓</t>
        </is>
      </c>
      <c r="G169" s="12" t="inlineStr">
        <is>
          <t>台北市信義區松仁路100號20樓</t>
        </is>
      </c>
      <c r="H169" s="12" t="inlineStr">
        <is>
          <t>台中市西屯區惠中路一段88號22樓</t>
        </is>
      </c>
      <c r="I169" s="10" t="inlineStr"/>
      <c r="J169" s="11" t="inlineStr"/>
      <c r="K169" s="10" t="inlineStr">
        <is>
          <t>中市</t>
        </is>
      </c>
      <c r="L169" s="10" t="inlineStr">
        <is>
          <t>100/12/09</t>
        </is>
      </c>
      <c r="M169" s="10" t="inlineStr">
        <is>
          <t>155</t>
        </is>
      </c>
      <c r="N169" s="10" t="inlineStr">
        <is>
          <t>2026-06-05</t>
        </is>
      </c>
      <c r="O169" s="11" t="inlineStr">
        <is>
          <t>https://www.roccpa.org.tw/member_search/more?id=FF0D0E5E-C253-4057-AEDA-A06C8D4AD885</t>
        </is>
      </c>
    </row>
    <row r="170">
      <c r="A170" s="10" t="n">
        <v>169</v>
      </c>
      <c r="B170" s="11" t="inlineStr">
        <is>
          <t>勤業眾信聯合會計師事務所</t>
        </is>
      </c>
      <c r="C170" s="11" t="inlineStr">
        <is>
          <t>Deloitte 勤業眾信</t>
        </is>
      </c>
      <c r="D170" s="11" t="inlineStr">
        <is>
          <t>康玉葉</t>
        </is>
      </c>
      <c r="E170" s="10" t="inlineStr">
        <is>
          <t>台中分所</t>
        </is>
      </c>
      <c r="F170" s="12" t="inlineStr">
        <is>
          <t>台中市西屯區惠中路一段88號22樓</t>
        </is>
      </c>
      <c r="G170" s="12" t="inlineStr">
        <is>
          <t>台北市信義區松仁路100號20樓</t>
        </is>
      </c>
      <c r="H170" s="12" t="inlineStr">
        <is>
          <t>台中市西屯區惠中路一段88號22樓</t>
        </is>
      </c>
      <c r="I170" s="10" t="inlineStr">
        <is>
          <t>103/05/30</t>
        </is>
      </c>
      <c r="J170" s="11" t="inlineStr">
        <is>
          <t>全聯會一字第1030217</t>
        </is>
      </c>
      <c r="K170" s="10" t="inlineStr">
        <is>
          <t>中市</t>
        </is>
      </c>
      <c r="L170" s="10" t="inlineStr">
        <is>
          <t>103/06/06</t>
        </is>
      </c>
      <c r="M170" s="10" t="inlineStr">
        <is>
          <t>770</t>
        </is>
      </c>
      <c r="N170" s="10" t="inlineStr">
        <is>
          <t>2026-06-05</t>
        </is>
      </c>
      <c r="O170" s="11" t="inlineStr">
        <is>
          <t>https://www.roccpa.org.tw/member_search/more?id=EE4A8DC4-F434-4ADC-B012-E2BD1B447A4A</t>
        </is>
      </c>
    </row>
    <row r="171">
      <c r="A171" s="10" t="n">
        <v>170</v>
      </c>
      <c r="B171" s="11" t="inlineStr">
        <is>
          <t>勤業眾信聯合會計師事務所</t>
        </is>
      </c>
      <c r="C171" s="11" t="inlineStr">
        <is>
          <t>Deloitte 勤業眾信</t>
        </is>
      </c>
      <c r="D171" s="11" t="inlineStr">
        <is>
          <t>蔣淑菁</t>
        </is>
      </c>
      <c r="E171" s="10" t="inlineStr">
        <is>
          <t>台中分所</t>
        </is>
      </c>
      <c r="F171" s="12" t="inlineStr">
        <is>
          <t>台中市西屯區惠中路一段88號22樓</t>
        </is>
      </c>
      <c r="G171" s="12" t="inlineStr">
        <is>
          <t>台北市信義區松仁路100號20樓</t>
        </is>
      </c>
      <c r="H171" s="12" t="inlineStr">
        <is>
          <t>台中市西屯區惠中路一段88號22樓</t>
        </is>
      </c>
      <c r="I171" s="10" t="inlineStr">
        <is>
          <t>100/05/25</t>
        </is>
      </c>
      <c r="J171" s="11" t="inlineStr">
        <is>
          <t>全聯會一字第1000213</t>
        </is>
      </c>
      <c r="K171" s="10" t="inlineStr">
        <is>
          <t>中市</t>
        </is>
      </c>
      <c r="L171" s="10" t="inlineStr">
        <is>
          <t>100/12/09</t>
        </is>
      </c>
      <c r="M171" s="10" t="inlineStr">
        <is>
          <t>157</t>
        </is>
      </c>
      <c r="N171" s="10" t="inlineStr">
        <is>
          <t>2026-06-05</t>
        </is>
      </c>
      <c r="O171" s="11" t="inlineStr">
        <is>
          <t>https://www.roccpa.org.tw/member_search/more?id=277EC2C6-9C47-4AF3-B23B-29A9291259CA</t>
        </is>
      </c>
    </row>
    <row r="172">
      <c r="A172" s="10" t="n">
        <v>171</v>
      </c>
      <c r="B172" s="11" t="inlineStr">
        <is>
          <t>勤業眾信聯合會計師事務所</t>
        </is>
      </c>
      <c r="C172" s="11" t="inlineStr">
        <is>
          <t>Deloitte 勤業眾信</t>
        </is>
      </c>
      <c r="D172" s="11" t="inlineStr">
        <is>
          <t>蘇定堅</t>
        </is>
      </c>
      <c r="E172" s="10" t="inlineStr">
        <is>
          <t>台中分所</t>
        </is>
      </c>
      <c r="F172" s="12" t="inlineStr">
        <is>
          <t>台中市西屯區惠中路一段88號22樓</t>
        </is>
      </c>
      <c r="G172" s="12" t="inlineStr">
        <is>
          <t>台北市信義區松仁路100號20樓</t>
        </is>
      </c>
      <c r="H172" s="12" t="inlineStr">
        <is>
          <t>台中市西屯區惠中路一段88號22樓</t>
        </is>
      </c>
      <c r="I172" s="10" t="inlineStr">
        <is>
          <t>107/06/01</t>
        </is>
      </c>
      <c r="J172" s="11" t="inlineStr">
        <is>
          <t>全聯會一字第1070241</t>
        </is>
      </c>
      <c r="K172" s="10" t="inlineStr">
        <is>
          <t>中市</t>
        </is>
      </c>
      <c r="L172" s="10" t="inlineStr">
        <is>
          <t>107/06/01</t>
        </is>
      </c>
      <c r="M172" s="10" t="inlineStr">
        <is>
          <t>954</t>
        </is>
      </c>
      <c r="N172" s="10" t="inlineStr">
        <is>
          <t>2026-06-05</t>
        </is>
      </c>
      <c r="O172" s="11" t="inlineStr">
        <is>
          <t>https://www.roccpa.org.tw/member_search/more?id=44E0983D-9E9C-4A5A-92EF-73ABA23E51EA</t>
        </is>
      </c>
    </row>
    <row r="173">
      <c r="A173" s="10" t="n">
        <v>172</v>
      </c>
      <c r="B173" s="11" t="inlineStr">
        <is>
          <t>勤業眾信聯合會計師事務所</t>
        </is>
      </c>
      <c r="C173" s="11" t="inlineStr">
        <is>
          <t>Deloitte 勤業眾信</t>
        </is>
      </c>
      <c r="D173" s="11" t="inlineStr">
        <is>
          <t>許瑞隆</t>
        </is>
      </c>
      <c r="E173" s="10" t="inlineStr">
        <is>
          <t>台中分所</t>
        </is>
      </c>
      <c r="F173" s="12" t="inlineStr">
        <is>
          <t>台中市西屯區惠中路一段88號22樓</t>
        </is>
      </c>
      <c r="G173" s="12" t="inlineStr">
        <is>
          <t>台北市信義區松仁路100號20樓</t>
        </is>
      </c>
      <c r="H173" s="12" t="inlineStr">
        <is>
          <t>台中市西屯區惠中路一段88號22樓</t>
        </is>
      </c>
      <c r="I173" s="10" t="inlineStr">
        <is>
          <t>113/06/19</t>
        </is>
      </c>
      <c r="J173" s="11" t="inlineStr">
        <is>
          <t>全聯會一字第1130000288號</t>
        </is>
      </c>
      <c r="K173" s="10" t="inlineStr">
        <is>
          <t>中市</t>
        </is>
      </c>
      <c r="L173" s="10" t="inlineStr">
        <is>
          <t>113/06/19</t>
        </is>
      </c>
      <c r="M173" s="10" t="inlineStr">
        <is>
          <t>1114</t>
        </is>
      </c>
      <c r="N173" s="10" t="inlineStr">
        <is>
          <t>2026-06-05</t>
        </is>
      </c>
      <c r="O173" s="11" t="inlineStr">
        <is>
          <t>https://www.roccpa.org.tw/member_search/more?id=BAA8D492-2A59-445C-9C89-F5859B5C492D</t>
        </is>
      </c>
    </row>
    <row r="174">
      <c r="A174" s="10" t="n">
        <v>173</v>
      </c>
      <c r="B174" s="11" t="inlineStr">
        <is>
          <t>勤業眾信聯合會計師事務所</t>
        </is>
      </c>
      <c r="C174" s="11" t="inlineStr">
        <is>
          <t>Deloitte 勤業眾信</t>
        </is>
      </c>
      <c r="D174" s="11" t="inlineStr">
        <is>
          <t>陳端慧</t>
        </is>
      </c>
      <c r="E174" s="10" t="inlineStr">
        <is>
          <t>台中分所</t>
        </is>
      </c>
      <c r="F174" s="12" t="inlineStr">
        <is>
          <t>台中市西屯區惠中路一段88號22樓</t>
        </is>
      </c>
      <c r="G174" s="12" t="inlineStr">
        <is>
          <t>台北市信義區松仁路100號20樓</t>
        </is>
      </c>
      <c r="H174" s="12" t="inlineStr">
        <is>
          <t>台中市西屯區惠中路一段88號22樓</t>
        </is>
      </c>
      <c r="I174" s="10" t="inlineStr">
        <is>
          <t>115/06/15</t>
        </is>
      </c>
      <c r="J174" s="11" t="inlineStr">
        <is>
          <t>全聯會一字第1150000283號</t>
        </is>
      </c>
      <c r="K174" s="10" t="inlineStr">
        <is>
          <t>中市</t>
        </is>
      </c>
      <c r="L174" s="10" t="inlineStr">
        <is>
          <t>115/06/15</t>
        </is>
      </c>
      <c r="M174" s="10" t="inlineStr">
        <is>
          <t>1182</t>
        </is>
      </c>
      <c r="N174" s="10" t="inlineStr">
        <is>
          <t>2026-06-23</t>
        </is>
      </c>
      <c r="O174" s="11" t="inlineStr">
        <is>
          <t>https://www.roccpa.org.tw/member_search/more?id=0262748bc6ed46d3affc1857b7e44076</t>
        </is>
      </c>
    </row>
    <row r="175">
      <c r="A175" s="10" t="n">
        <v>174</v>
      </c>
      <c r="B175" s="11" t="inlineStr">
        <is>
          <t>勤業眾信聯合會計師事務所</t>
        </is>
      </c>
      <c r="C175" s="11" t="inlineStr">
        <is>
          <t>Deloitte 勤業眾信</t>
        </is>
      </c>
      <c r="D175" s="11" t="inlineStr">
        <is>
          <t>顏曉芳</t>
        </is>
      </c>
      <c r="E175" s="10" t="inlineStr">
        <is>
          <t>台中分所</t>
        </is>
      </c>
      <c r="F175" s="12" t="inlineStr">
        <is>
          <t>台中市西屯區惠中路一段88號22樓</t>
        </is>
      </c>
      <c r="G175" s="12" t="inlineStr">
        <is>
          <t>台北市信義區松仁路100號20樓</t>
        </is>
      </c>
      <c r="H175" s="12" t="inlineStr">
        <is>
          <t>台中市西屯區惠中路一段88號22樓</t>
        </is>
      </c>
      <c r="I175" s="10" t="inlineStr">
        <is>
          <t>101/06/04</t>
        </is>
      </c>
      <c r="J175" s="11" t="inlineStr">
        <is>
          <t>全聯會一字第1010181</t>
        </is>
      </c>
      <c r="K175" s="10" t="inlineStr">
        <is>
          <t>中市</t>
        </is>
      </c>
      <c r="L175" s="10" t="inlineStr">
        <is>
          <t>101/06/21</t>
        </is>
      </c>
      <c r="M175" s="10" t="inlineStr">
        <is>
          <t>510</t>
        </is>
      </c>
      <c r="N175" s="10" t="inlineStr">
        <is>
          <t>2026-06-05</t>
        </is>
      </c>
      <c r="O175" s="11" t="inlineStr">
        <is>
          <t>https://www.roccpa.org.tw/member_search/more?id=78B09F49-1DD3-43BD-9C27-2A1E756032F9</t>
        </is>
      </c>
    </row>
    <row r="176">
      <c r="A176" s="10" t="n">
        <v>175</v>
      </c>
      <c r="B176" s="11" t="inlineStr">
        <is>
          <t>勤業眾信聯合會計師事務所</t>
        </is>
      </c>
      <c r="C176" s="11" t="inlineStr">
        <is>
          <t>Deloitte 勤業眾信</t>
        </is>
      </c>
      <c r="D176" s="11" t="inlineStr">
        <is>
          <t>吳長駿</t>
        </is>
      </c>
      <c r="E176" s="10" t="inlineStr">
        <is>
          <t>台南分所</t>
        </is>
      </c>
      <c r="F176" s="12" t="inlineStr">
        <is>
          <t>台南市中西區永福路一段189號13樓</t>
        </is>
      </c>
      <c r="G176" s="12" t="inlineStr">
        <is>
          <t>台北市信義區松仁路100號20樓</t>
        </is>
      </c>
      <c r="H176" s="12" t="inlineStr">
        <is>
          <t>台南市中西區永福路一段189號13樓</t>
        </is>
      </c>
      <c r="I176" s="10" t="inlineStr">
        <is>
          <t>111/06/10</t>
        </is>
      </c>
      <c r="J176" s="11" t="inlineStr">
        <is>
          <t>全聯會一字第1110214</t>
        </is>
      </c>
      <c r="K176" s="10" t="inlineStr">
        <is>
          <t>省</t>
        </is>
      </c>
      <c r="L176" s="10" t="inlineStr">
        <is>
          <t>111/06/10</t>
        </is>
      </c>
      <c r="M176" s="10" t="inlineStr">
        <is>
          <t>4877</t>
        </is>
      </c>
      <c r="N176" s="10" t="inlineStr">
        <is>
          <t>2026-06-05</t>
        </is>
      </c>
      <c r="O176" s="11" t="inlineStr">
        <is>
          <t>https://www.roccpa.org.tw/member_search/more?id=91E25EB5-5385-4BC8-9FE8-1AFC93D3DBCC</t>
        </is>
      </c>
    </row>
    <row r="177">
      <c r="A177" s="10" t="n">
        <v>176</v>
      </c>
      <c r="B177" s="11" t="inlineStr">
        <is>
          <t>勤業眾信聯合會計師事務所</t>
        </is>
      </c>
      <c r="C177" s="11" t="inlineStr">
        <is>
          <t>Deloitte 勤業眾信</t>
        </is>
      </c>
      <c r="D177" s="11" t="inlineStr">
        <is>
          <t>廖鴻儒</t>
        </is>
      </c>
      <c r="E177" s="10" t="inlineStr">
        <is>
          <t>台南分所</t>
        </is>
      </c>
      <c r="F177" s="12" t="inlineStr">
        <is>
          <t>台南市中西區永福路一段189號13樓</t>
        </is>
      </c>
      <c r="G177" s="12" t="inlineStr">
        <is>
          <t>台北市信義區松仁路100號20樓</t>
        </is>
      </c>
      <c r="H177" s="12" t="inlineStr">
        <is>
          <t>台南市中西區永福路一段189號13樓</t>
        </is>
      </c>
      <c r="I177" s="10" t="inlineStr">
        <is>
          <t>099/05/25</t>
        </is>
      </c>
      <c r="J177" s="11" t="inlineStr">
        <is>
          <t>全聯會一字第09900257</t>
        </is>
      </c>
      <c r="K177" s="10" t="inlineStr">
        <is>
          <t>省</t>
        </is>
      </c>
      <c r="L177" s="10" t="inlineStr">
        <is>
          <t>099/06/03</t>
        </is>
      </c>
      <c r="M177" s="10" t="inlineStr">
        <is>
          <t>3703</t>
        </is>
      </c>
      <c r="N177" s="10" t="inlineStr">
        <is>
          <t>2026-06-05</t>
        </is>
      </c>
      <c r="O177" s="11" t="inlineStr">
        <is>
          <t>https://www.roccpa.org.tw/member_search/more?id=AFC9474E-4F03-4229-9764-FFE948E36806</t>
        </is>
      </c>
    </row>
    <row r="178">
      <c r="A178" s="10" t="n">
        <v>177</v>
      </c>
      <c r="B178" s="11" t="inlineStr">
        <is>
          <t>勤業眾信聯合會計師事務所</t>
        </is>
      </c>
      <c r="C178" s="11" t="inlineStr">
        <is>
          <t>Deloitte 勤業眾信</t>
        </is>
      </c>
      <c r="D178" s="11" t="inlineStr">
        <is>
          <t>李季珍</t>
        </is>
      </c>
      <c r="E178" s="10" t="inlineStr">
        <is>
          <t>台南分所</t>
        </is>
      </c>
      <c r="F178" s="12" t="inlineStr">
        <is>
          <t>台南市中西區永福路一段189號13樓</t>
        </is>
      </c>
      <c r="G178" s="12" t="inlineStr">
        <is>
          <t>台北市信義區松仁路100號20樓</t>
        </is>
      </c>
      <c r="H178" s="12" t="inlineStr">
        <is>
          <t>台南市中西區永福路一段189號13樓</t>
        </is>
      </c>
      <c r="I178" s="10" t="inlineStr"/>
      <c r="J178" s="11" t="inlineStr"/>
      <c r="K178" s="10" t="inlineStr">
        <is>
          <t>省</t>
        </is>
      </c>
      <c r="L178" s="10" t="inlineStr">
        <is>
          <t>088/11/11</t>
        </is>
      </c>
      <c r="M178" s="10" t="inlineStr">
        <is>
          <t>2531</t>
        </is>
      </c>
      <c r="N178" s="10" t="inlineStr">
        <is>
          <t>2026-06-05</t>
        </is>
      </c>
      <c r="O178" s="11" t="inlineStr">
        <is>
          <t>https://www.roccpa.org.tw/member_search/more?id=E3219069-275A-4126-94D6-FE76DED9A623</t>
        </is>
      </c>
    </row>
    <row r="179">
      <c r="A179" s="10" t="n">
        <v>178</v>
      </c>
      <c r="B179" s="11" t="inlineStr">
        <is>
          <t>勤業眾信聯合會計師事務所</t>
        </is>
      </c>
      <c r="C179" s="11" t="inlineStr">
        <is>
          <t>Deloitte 勤業眾信</t>
        </is>
      </c>
      <c r="D179" s="11" t="inlineStr">
        <is>
          <t>楊朝欽</t>
        </is>
      </c>
      <c r="E179" s="10" t="inlineStr">
        <is>
          <t>台南分所</t>
        </is>
      </c>
      <c r="F179" s="12" t="inlineStr">
        <is>
          <t>台南市中西區永福路一段189號13樓</t>
        </is>
      </c>
      <c r="G179" s="12" t="inlineStr">
        <is>
          <t>台北市信義區松仁路100號20樓</t>
        </is>
      </c>
      <c r="H179" s="12" t="inlineStr">
        <is>
          <t>台南市中西區永福路一段189號13樓</t>
        </is>
      </c>
      <c r="I179" s="10" t="inlineStr">
        <is>
          <t>106/06/01</t>
        </is>
      </c>
      <c r="J179" s="11" t="inlineStr">
        <is>
          <t>全聯會一字第1060201</t>
        </is>
      </c>
      <c r="K179" s="10" t="inlineStr">
        <is>
          <t>省</t>
        </is>
      </c>
      <c r="L179" s="10" t="inlineStr">
        <is>
          <t>106/06/14</t>
        </is>
      </c>
      <c r="M179" s="10" t="inlineStr">
        <is>
          <t>4578</t>
        </is>
      </c>
      <c r="N179" s="10" t="inlineStr">
        <is>
          <t>2026-06-05</t>
        </is>
      </c>
      <c r="O179" s="11" t="inlineStr">
        <is>
          <t>https://www.roccpa.org.tw/member_search/more?id=0650DA5F-F279-4BA1-A4AB-A3637E963C6E</t>
        </is>
      </c>
    </row>
    <row r="180">
      <c r="A180" s="10" t="n">
        <v>179</v>
      </c>
      <c r="B180" s="11" t="inlineStr">
        <is>
          <t>勤業眾信聯合會計師事務所</t>
        </is>
      </c>
      <c r="C180" s="11" t="inlineStr">
        <is>
          <t>Deloitte 勤業眾信</t>
        </is>
      </c>
      <c r="D180" s="11" t="inlineStr">
        <is>
          <t>蔡育維</t>
        </is>
      </c>
      <c r="E180" s="10" t="inlineStr">
        <is>
          <t>台南分所</t>
        </is>
      </c>
      <c r="F180" s="12" t="inlineStr">
        <is>
          <t>台南市中西區永福路一段189號13樓</t>
        </is>
      </c>
      <c r="G180" s="12" t="inlineStr">
        <is>
          <t>台北市信義區松仁路100號20樓</t>
        </is>
      </c>
      <c r="H180" s="12" t="inlineStr">
        <is>
          <t>台南市中西區永福路一段189號13樓</t>
        </is>
      </c>
      <c r="I180" s="10" t="inlineStr">
        <is>
          <t>101/06/04</t>
        </is>
      </c>
      <c r="J180" s="11" t="inlineStr">
        <is>
          <t>全聯會一字第1010184</t>
        </is>
      </c>
      <c r="K180" s="10" t="inlineStr">
        <is>
          <t>省</t>
        </is>
      </c>
      <c r="L180" s="10" t="inlineStr">
        <is>
          <t>101/06/13</t>
        </is>
      </c>
      <c r="M180" s="10" t="inlineStr">
        <is>
          <t>3972</t>
        </is>
      </c>
      <c r="N180" s="10" t="inlineStr">
        <is>
          <t>2026-06-05</t>
        </is>
      </c>
      <c r="O180" s="11" t="inlineStr">
        <is>
          <t>https://www.roccpa.org.tw/member_search/more?id=8F38A3D3-CBE7-4B86-B626-9F4A6640FA9E</t>
        </is>
      </c>
    </row>
    <row r="181">
      <c r="A181" s="10" t="n">
        <v>180</v>
      </c>
      <c r="B181" s="11" t="inlineStr">
        <is>
          <t>勤業眾信聯合會計師事務所</t>
        </is>
      </c>
      <c r="C181" s="11" t="inlineStr">
        <is>
          <t>Deloitte 勤業眾信</t>
        </is>
      </c>
      <c r="D181" s="11" t="inlineStr">
        <is>
          <t>劉承翰</t>
        </is>
      </c>
      <c r="E181" s="10" t="inlineStr">
        <is>
          <t>高雄分所</t>
        </is>
      </c>
      <c r="F181" s="12" t="inlineStr">
        <is>
          <t>高雄市前鎮區成功二路88號3樓</t>
        </is>
      </c>
      <c r="G181" s="12" t="inlineStr">
        <is>
          <t>台北市信義區松仁路100號20樓</t>
        </is>
      </c>
      <c r="H181" s="12" t="inlineStr">
        <is>
          <t>高雄市前鎮區成功二路88號3樓</t>
        </is>
      </c>
      <c r="I181" s="10" t="inlineStr">
        <is>
          <t>114/06/18</t>
        </is>
      </c>
      <c r="J181" s="11" t="inlineStr">
        <is>
          <t>全聯會一字第1140000250號</t>
        </is>
      </c>
      <c r="K181" s="10" t="inlineStr">
        <is>
          <t>高市</t>
        </is>
      </c>
      <c r="L181" s="10" t="inlineStr">
        <is>
          <t>114/06/18</t>
        </is>
      </c>
      <c r="M181" s="10" t="inlineStr">
        <is>
          <t>1162</t>
        </is>
      </c>
      <c r="N181" s="10" t="inlineStr">
        <is>
          <t>2026-06-05</t>
        </is>
      </c>
      <c r="O181" s="11" t="inlineStr">
        <is>
          <t>https://www.roccpa.org.tw/member_search/more?id=ECD70AFC-DD62-4074-8E35-77E49C5CF3AF</t>
        </is>
      </c>
    </row>
    <row r="182">
      <c r="A182" s="10" t="n">
        <v>181</v>
      </c>
      <c r="B182" s="11" t="inlineStr">
        <is>
          <t>勤業眾信聯合會計師事務所</t>
        </is>
      </c>
      <c r="C182" s="11" t="inlineStr">
        <is>
          <t>Deloitte 勤業眾信</t>
        </is>
      </c>
      <c r="D182" s="11" t="inlineStr">
        <is>
          <t>劉裕祥</t>
        </is>
      </c>
      <c r="E182" s="10" t="inlineStr">
        <is>
          <t>高雄分所</t>
        </is>
      </c>
      <c r="F182" s="12" t="inlineStr">
        <is>
          <t>高雄市前鎮區成功二路88號3樓</t>
        </is>
      </c>
      <c r="G182" s="12" t="inlineStr">
        <is>
          <t>台北市信義區松仁路100號20樓</t>
        </is>
      </c>
      <c r="H182" s="12" t="inlineStr">
        <is>
          <t>高雄市前鎮區成功二路88號3樓</t>
        </is>
      </c>
      <c r="I182" s="10" t="inlineStr">
        <is>
          <t>105/06/01</t>
        </is>
      </c>
      <c r="J182" s="11" t="inlineStr">
        <is>
          <t>全聯會一字第1050255</t>
        </is>
      </c>
      <c r="K182" s="10" t="inlineStr">
        <is>
          <t>高市</t>
        </is>
      </c>
      <c r="L182" s="10" t="inlineStr">
        <is>
          <t>105/06/08</t>
        </is>
      </c>
      <c r="M182" s="10" t="inlineStr">
        <is>
          <t>1005</t>
        </is>
      </c>
      <c r="N182" s="10" t="inlineStr">
        <is>
          <t>2026-06-05</t>
        </is>
      </c>
      <c r="O182" s="11" t="inlineStr">
        <is>
          <t>https://www.roccpa.org.tw/member_search/more?id=05A89081-319F-4756-B067-3CA86DFD6165</t>
        </is>
      </c>
    </row>
    <row r="183">
      <c r="A183" s="10" t="n">
        <v>182</v>
      </c>
      <c r="B183" s="11" t="inlineStr">
        <is>
          <t>勤業眾信聯合會計師事務所</t>
        </is>
      </c>
      <c r="C183" s="11" t="inlineStr">
        <is>
          <t>Deloitte 勤業眾信</t>
        </is>
      </c>
      <c r="D183" s="11" t="inlineStr">
        <is>
          <t>吳秋燕</t>
        </is>
      </c>
      <c r="E183" s="10" t="inlineStr">
        <is>
          <t>高雄分所</t>
        </is>
      </c>
      <c r="F183" s="12" t="inlineStr">
        <is>
          <t>高雄市前鎮區成功二路88號3樓</t>
        </is>
      </c>
      <c r="G183" s="12" t="inlineStr">
        <is>
          <t>台北市信義區松仁路100號20樓</t>
        </is>
      </c>
      <c r="H183" s="12" t="inlineStr">
        <is>
          <t>高雄市前鎮區成功二路88號3樓</t>
        </is>
      </c>
      <c r="I183" s="10" t="inlineStr"/>
      <c r="J183" s="11" t="inlineStr"/>
      <c r="K183" s="10" t="inlineStr">
        <is>
          <t>高市</t>
        </is>
      </c>
      <c r="L183" s="10" t="inlineStr">
        <is>
          <t>088/03/09</t>
        </is>
      </c>
      <c r="M183" s="10" t="inlineStr">
        <is>
          <t>416</t>
        </is>
      </c>
      <c r="N183" s="10" t="inlineStr">
        <is>
          <t>2026-06-05</t>
        </is>
      </c>
      <c r="O183" s="11" t="inlineStr">
        <is>
          <t>https://www.roccpa.org.tw/member_search/more?id=C8F0E334-8EB3-4266-9BC7-A18B89C687FF</t>
        </is>
      </c>
    </row>
    <row r="184">
      <c r="A184" s="10" t="n">
        <v>183</v>
      </c>
      <c r="B184" s="11" t="inlineStr">
        <is>
          <t>勤業眾信聯合會計師事務所</t>
        </is>
      </c>
      <c r="C184" s="11" t="inlineStr">
        <is>
          <t>Deloitte 勤業眾信</t>
        </is>
      </c>
      <c r="D184" s="11" t="inlineStr">
        <is>
          <t>張惟桔</t>
        </is>
      </c>
      <c r="E184" s="10" t="inlineStr">
        <is>
          <t>高雄分所</t>
        </is>
      </c>
      <c r="F184" s="12" t="inlineStr">
        <is>
          <t>高雄市前鎮區成功二路88號3樓</t>
        </is>
      </c>
      <c r="G184" s="12" t="inlineStr">
        <is>
          <t>台北市信義區松仁路100號20樓</t>
        </is>
      </c>
      <c r="H184" s="12" t="inlineStr">
        <is>
          <t>高雄市前鎮區成功二路88號3樓</t>
        </is>
      </c>
      <c r="I184" s="10" t="inlineStr">
        <is>
          <t>105/06/01</t>
        </is>
      </c>
      <c r="J184" s="11" t="inlineStr">
        <is>
          <t>全聯會一字第1050258</t>
        </is>
      </c>
      <c r="K184" s="10" t="inlineStr">
        <is>
          <t>高市</t>
        </is>
      </c>
      <c r="L184" s="10" t="inlineStr">
        <is>
          <t>105/06/08</t>
        </is>
      </c>
      <c r="M184" s="10" t="inlineStr">
        <is>
          <t>1006</t>
        </is>
      </c>
      <c r="N184" s="10" t="inlineStr">
        <is>
          <t>2026-06-05</t>
        </is>
      </c>
      <c r="O184" s="11" t="inlineStr">
        <is>
          <t>https://www.roccpa.org.tw/member_search/more?id=A9356D63-D79A-4831-9DA5-8D6E7678FF43</t>
        </is>
      </c>
    </row>
    <row r="185">
      <c r="A185" s="10" t="n">
        <v>184</v>
      </c>
      <c r="B185" s="11" t="inlineStr">
        <is>
          <t>勤業眾信聯合會計師事務所</t>
        </is>
      </c>
      <c r="C185" s="11" t="inlineStr">
        <is>
          <t>Deloitte 勤業眾信</t>
        </is>
      </c>
      <c r="D185" s="11" t="inlineStr">
        <is>
          <t>張慈媛</t>
        </is>
      </c>
      <c r="E185" s="10" t="inlineStr">
        <is>
          <t>高雄分所</t>
        </is>
      </c>
      <c r="F185" s="12" t="inlineStr">
        <is>
          <t>高雄市前鎮區成功二路88號3樓</t>
        </is>
      </c>
      <c r="G185" s="12" t="inlineStr">
        <is>
          <t>台北市信義區松仁路100號20樓</t>
        </is>
      </c>
      <c r="H185" s="12" t="inlineStr">
        <is>
          <t>高雄市前鎮區成功二路88號3樓</t>
        </is>
      </c>
      <c r="I185" s="10" t="inlineStr">
        <is>
          <t>112/06/08</t>
        </is>
      </c>
      <c r="J185" s="11" t="inlineStr">
        <is>
          <t>全聯會一字第1120225</t>
        </is>
      </c>
      <c r="K185" s="10" t="inlineStr">
        <is>
          <t>高市</t>
        </is>
      </c>
      <c r="L185" s="10" t="inlineStr">
        <is>
          <t>112/06/08</t>
        </is>
      </c>
      <c r="M185" s="10" t="inlineStr">
        <is>
          <t>1106</t>
        </is>
      </c>
      <c r="N185" s="10" t="inlineStr">
        <is>
          <t>2026-06-05</t>
        </is>
      </c>
      <c r="O185" s="11" t="inlineStr">
        <is>
          <t>https://www.roccpa.org.tw/member_search/more?id=85467133-F800-45A7-9A0E-B3BDEBE8AC22</t>
        </is>
      </c>
    </row>
    <row r="186">
      <c r="A186" s="10" t="n">
        <v>185</v>
      </c>
      <c r="B186" s="11" t="inlineStr">
        <is>
          <t>勤業眾信聯合會計師事務所</t>
        </is>
      </c>
      <c r="C186" s="11" t="inlineStr">
        <is>
          <t>Deloitte 勤業眾信</t>
        </is>
      </c>
      <c r="D186" s="11" t="inlineStr">
        <is>
          <t>王兆群</t>
        </is>
      </c>
      <c r="E186" s="10" t="inlineStr">
        <is>
          <t>高雄分所</t>
        </is>
      </c>
      <c r="F186" s="12" t="inlineStr">
        <is>
          <t>高雄市前鎮區成功二路88號3樓</t>
        </is>
      </c>
      <c r="G186" s="12" t="inlineStr">
        <is>
          <t>台北市信義區松仁路100號20樓</t>
        </is>
      </c>
      <c r="H186" s="12" t="inlineStr">
        <is>
          <t>高雄市前鎮區成功二路88號3樓</t>
        </is>
      </c>
      <c r="I186" s="10" t="inlineStr">
        <is>
          <t>109/06/10</t>
        </is>
      </c>
      <c r="J186" s="11" t="inlineStr">
        <is>
          <t>全聯會一字第1090209</t>
        </is>
      </c>
      <c r="K186" s="10" t="inlineStr">
        <is>
          <t>高市</t>
        </is>
      </c>
      <c r="L186" s="10" t="inlineStr">
        <is>
          <t>109/06/10</t>
        </is>
      </c>
      <c r="M186" s="10" t="inlineStr">
        <is>
          <t>1059</t>
        </is>
      </c>
      <c r="N186" s="10" t="inlineStr">
        <is>
          <t>2026-06-05</t>
        </is>
      </c>
      <c r="O186" s="11" t="inlineStr">
        <is>
          <t>https://www.roccpa.org.tw/member_search/more?id=2E195528-2171-416E-91F1-3ACEF9BA49C7</t>
        </is>
      </c>
    </row>
    <row r="187">
      <c r="A187" s="10" t="n">
        <v>186</v>
      </c>
      <c r="B187" s="11" t="inlineStr">
        <is>
          <t>勤業眾信聯合會計師事務所</t>
        </is>
      </c>
      <c r="C187" s="11" t="inlineStr">
        <is>
          <t>Deloitte 勤業眾信</t>
        </is>
      </c>
      <c r="D187" s="11" t="inlineStr">
        <is>
          <t>王騰葦</t>
        </is>
      </c>
      <c r="E187" s="10" t="inlineStr">
        <is>
          <t>高雄分所</t>
        </is>
      </c>
      <c r="F187" s="12" t="inlineStr">
        <is>
          <t>高雄市前鎮區成功二路88號3樓</t>
        </is>
      </c>
      <c r="G187" s="12" t="inlineStr">
        <is>
          <t>台北市信義區松仁路100號20樓</t>
        </is>
      </c>
      <c r="H187" s="12" t="inlineStr">
        <is>
          <t>高雄市前鎮區成功二路88號3樓</t>
        </is>
      </c>
      <c r="I187" s="10" t="inlineStr">
        <is>
          <t>110/06/09</t>
        </is>
      </c>
      <c r="J187" s="11" t="inlineStr">
        <is>
          <t>全聯會一字第1100237</t>
        </is>
      </c>
      <c r="K187" s="10" t="inlineStr">
        <is>
          <t>高市</t>
        </is>
      </c>
      <c r="L187" s="10" t="inlineStr">
        <is>
          <t>110/06/09</t>
        </is>
      </c>
      <c r="M187" s="10" t="inlineStr">
        <is>
          <t>1078</t>
        </is>
      </c>
      <c r="N187" s="10" t="inlineStr">
        <is>
          <t>2026-06-05</t>
        </is>
      </c>
      <c r="O187" s="11" t="inlineStr">
        <is>
          <t>https://www.roccpa.org.tw/member_search/more?id=1B51AB0B-8BAC-4C1B-A055-FC04C7312610</t>
        </is>
      </c>
    </row>
    <row r="188">
      <c r="A188" s="10" t="n">
        <v>187</v>
      </c>
      <c r="B188" s="11" t="inlineStr">
        <is>
          <t>勤業眾信聯合會計師事務所</t>
        </is>
      </c>
      <c r="C188" s="11" t="inlineStr">
        <is>
          <t>Deloitte 勤業眾信</t>
        </is>
      </c>
      <c r="D188" s="11" t="inlineStr">
        <is>
          <t>許凱甯</t>
        </is>
      </c>
      <c r="E188" s="10" t="inlineStr">
        <is>
          <t>高雄分所</t>
        </is>
      </c>
      <c r="F188" s="12" t="inlineStr">
        <is>
          <t>高雄市前鎮區成功二路88號3樓</t>
        </is>
      </c>
      <c r="G188" s="12" t="inlineStr">
        <is>
          <t>台北市信義區松仁路100號20樓</t>
        </is>
      </c>
      <c r="H188" s="12" t="inlineStr">
        <is>
          <t>高雄市前鎮區成功二路88號3樓</t>
        </is>
      </c>
      <c r="I188" s="10" t="inlineStr">
        <is>
          <t>109/06/10</t>
        </is>
      </c>
      <c r="J188" s="11" t="inlineStr">
        <is>
          <t>全聯會一字第1090210</t>
        </is>
      </c>
      <c r="K188" s="10" t="inlineStr">
        <is>
          <t>高市</t>
        </is>
      </c>
      <c r="L188" s="10" t="inlineStr">
        <is>
          <t>109/06/10</t>
        </is>
      </c>
      <c r="M188" s="10" t="inlineStr">
        <is>
          <t>1060</t>
        </is>
      </c>
      <c r="N188" s="10" t="inlineStr">
        <is>
          <t>2026-06-05</t>
        </is>
      </c>
      <c r="O188" s="11" t="inlineStr">
        <is>
          <t>https://www.roccpa.org.tw/member_search/more?id=F1B71C5E-C852-4525-9E44-8D861B5A7F44</t>
        </is>
      </c>
    </row>
    <row r="189">
      <c r="A189" s="10" t="n">
        <v>188</v>
      </c>
      <c r="B189" s="11" t="inlineStr">
        <is>
          <t>勤業眾信聯合會計師事務所</t>
        </is>
      </c>
      <c r="C189" s="11" t="inlineStr">
        <is>
          <t>Deloitte 勤業眾信</t>
        </is>
      </c>
      <c r="D189" s="11" t="inlineStr">
        <is>
          <t>許瑞軒</t>
        </is>
      </c>
      <c r="E189" s="10" t="inlineStr">
        <is>
          <t>高雄分所</t>
        </is>
      </c>
      <c r="F189" s="12" t="inlineStr">
        <is>
          <t>高雄市前鎮區成功二路88號3樓</t>
        </is>
      </c>
      <c r="G189" s="12" t="inlineStr">
        <is>
          <t>台北市信義區松仁路100號20樓</t>
        </is>
      </c>
      <c r="H189" s="12" t="inlineStr">
        <is>
          <t>高雄市前鎮區成功二路88號3樓</t>
        </is>
      </c>
      <c r="I189" s="10" t="inlineStr">
        <is>
          <t>102/06/03</t>
        </is>
      </c>
      <c r="J189" s="11" t="inlineStr">
        <is>
          <t>全聯會一字第1020216</t>
        </is>
      </c>
      <c r="K189" s="10" t="inlineStr">
        <is>
          <t>高市</t>
        </is>
      </c>
      <c r="L189" s="10" t="inlineStr">
        <is>
          <t>102/06/17</t>
        </is>
      </c>
      <c r="M189" s="10" t="inlineStr">
        <is>
          <t>865</t>
        </is>
      </c>
      <c r="N189" s="10" t="inlineStr">
        <is>
          <t>2026-06-05</t>
        </is>
      </c>
      <c r="O189" s="11" t="inlineStr">
        <is>
          <t>https://www.roccpa.org.tw/member_search/more?id=BE12CA4F-5DA6-46A5-AE84-0545D23D70AD</t>
        </is>
      </c>
    </row>
    <row r="190">
      <c r="A190" s="10" t="n">
        <v>189</v>
      </c>
      <c r="B190" s="11" t="inlineStr">
        <is>
          <t>勤業眾信聯合會計師事務所</t>
        </is>
      </c>
      <c r="C190" s="11" t="inlineStr">
        <is>
          <t>Deloitte 勤業眾信</t>
        </is>
      </c>
      <c r="D190" s="11" t="inlineStr">
        <is>
          <t>謝曛如</t>
        </is>
      </c>
      <c r="E190" s="10" t="inlineStr">
        <is>
          <t>高雄分所</t>
        </is>
      </c>
      <c r="F190" s="12" t="inlineStr">
        <is>
          <t>高雄市前鎮區成功二路88號3樓</t>
        </is>
      </c>
      <c r="G190" s="12" t="inlineStr">
        <is>
          <t>台北市信義區松仁路100號20樓</t>
        </is>
      </c>
      <c r="H190" s="12" t="inlineStr">
        <is>
          <t>高雄市前鎮區成功二路88號3樓</t>
        </is>
      </c>
      <c r="I190" s="10" t="inlineStr">
        <is>
          <t>114/06/18</t>
        </is>
      </c>
      <c r="J190" s="11" t="inlineStr">
        <is>
          <t>全聯會一字第1140000249號</t>
        </is>
      </c>
      <c r="K190" s="10" t="inlineStr">
        <is>
          <t>高市</t>
        </is>
      </c>
      <c r="L190" s="10" t="inlineStr">
        <is>
          <t>114/06/18</t>
        </is>
      </c>
      <c r="M190" s="10" t="inlineStr">
        <is>
          <t>1161</t>
        </is>
      </c>
      <c r="N190" s="10" t="inlineStr">
        <is>
          <t>2026-06-05</t>
        </is>
      </c>
      <c r="O190" s="11" t="inlineStr">
        <is>
          <t>https://www.roccpa.org.tw/member_search/more?id=FA9EB531-3484-4033-ADC0-C3F191E2F54C</t>
        </is>
      </c>
    </row>
    <row r="191">
      <c r="A191" s="10" t="n">
        <v>190</v>
      </c>
      <c r="B191" s="11" t="inlineStr">
        <is>
          <t>勤業眾信聯合會計師事務所</t>
        </is>
      </c>
      <c r="C191" s="11" t="inlineStr">
        <is>
          <t>Deloitte 勤業眾信</t>
        </is>
      </c>
      <c r="D191" s="11" t="inlineStr">
        <is>
          <t>賴永發</t>
        </is>
      </c>
      <c r="E191" s="10" t="inlineStr">
        <is>
          <t>高雄分所</t>
        </is>
      </c>
      <c r="F191" s="12" t="inlineStr">
        <is>
          <t>高雄市前鎮區成功二路88號3樓</t>
        </is>
      </c>
      <c r="G191" s="12" t="inlineStr">
        <is>
          <t>台北市信義區松仁路100號20樓</t>
        </is>
      </c>
      <c r="H191" s="12" t="inlineStr">
        <is>
          <t>高雄市前鎮區成功二路88號3樓</t>
        </is>
      </c>
      <c r="I191" s="10" t="inlineStr"/>
      <c r="J191" s="11" t="inlineStr"/>
      <c r="K191" s="10" t="inlineStr">
        <is>
          <t>高市</t>
        </is>
      </c>
      <c r="L191" s="10" t="inlineStr">
        <is>
          <t>094/12/13</t>
        </is>
      </c>
      <c r="M191" s="10" t="inlineStr">
        <is>
          <t>600</t>
        </is>
      </c>
      <c r="N191" s="10" t="inlineStr">
        <is>
          <t>2026-06-05</t>
        </is>
      </c>
      <c r="O191" s="11" t="inlineStr">
        <is>
          <t>https://www.roccpa.org.tw/member_search/more?id=9FD487AE-9B5E-41AE-ABF8-D63C845E611A</t>
        </is>
      </c>
    </row>
    <row r="192">
      <c r="A192" s="10" t="n">
        <v>191</v>
      </c>
      <c r="B192" s="11" t="inlineStr">
        <is>
          <t>勤業眾信聯合會計師事務所</t>
        </is>
      </c>
      <c r="C192" s="11" t="inlineStr">
        <is>
          <t>Deloitte 勤業眾信</t>
        </is>
      </c>
      <c r="D192" s="11" t="inlineStr">
        <is>
          <t>郭麗園</t>
        </is>
      </c>
      <c r="E192" s="10" t="inlineStr">
        <is>
          <t>高雄分所</t>
        </is>
      </c>
      <c r="F192" s="12" t="inlineStr">
        <is>
          <t>高雄市前鎮區成功二路88號3樓</t>
        </is>
      </c>
      <c r="G192" s="12" t="inlineStr">
        <is>
          <t>台北市信義區松仁路100號20樓</t>
        </is>
      </c>
      <c r="H192" s="12" t="inlineStr">
        <is>
          <t>高雄市前鎮區成功二路88號3樓</t>
        </is>
      </c>
      <c r="I192" s="10" t="inlineStr"/>
      <c r="J192" s="11" t="inlineStr"/>
      <c r="K192" s="10" t="inlineStr">
        <is>
          <t>高市</t>
        </is>
      </c>
      <c r="L192" s="10" t="inlineStr">
        <is>
          <t>086/11/14</t>
        </is>
      </c>
      <c r="M192" s="10" t="inlineStr">
        <is>
          <t>386</t>
        </is>
      </c>
      <c r="N192" s="10" t="inlineStr">
        <is>
          <t>2026-06-05</t>
        </is>
      </c>
      <c r="O192" s="11" t="inlineStr">
        <is>
          <t>https://www.roccpa.org.tw/member_search/more?id=626587D3-DE4B-465E-BF85-ABA1F2F0E468</t>
        </is>
      </c>
    </row>
    <row r="193">
      <c r="A193" s="10" t="n">
        <v>192</v>
      </c>
      <c r="B193" s="11" t="inlineStr">
        <is>
          <t>勤業眾信聯合會計師事務所</t>
        </is>
      </c>
      <c r="C193" s="11" t="inlineStr">
        <is>
          <t>Deloitte 勤業眾信</t>
        </is>
      </c>
      <c r="D193" s="11" t="inlineStr">
        <is>
          <t>陳珍麗</t>
        </is>
      </c>
      <c r="E193" s="10" t="inlineStr">
        <is>
          <t>高雄分所</t>
        </is>
      </c>
      <c r="F193" s="12" t="inlineStr">
        <is>
          <t>高雄市前鎮區成功二路88號3樓</t>
        </is>
      </c>
      <c r="G193" s="12" t="inlineStr">
        <is>
          <t>台北市信義區松仁路100號20樓</t>
        </is>
      </c>
      <c r="H193" s="12" t="inlineStr">
        <is>
          <t>高雄市前鎮區成功二路88號3樓</t>
        </is>
      </c>
      <c r="I193" s="10" t="inlineStr">
        <is>
          <t>101/06/04</t>
        </is>
      </c>
      <c r="J193" s="11" t="inlineStr">
        <is>
          <t>全聯會一字第1010182</t>
        </is>
      </c>
      <c r="K193" s="10" t="inlineStr">
        <is>
          <t>高市</t>
        </is>
      </c>
      <c r="L193" s="10" t="inlineStr">
        <is>
          <t>101/06/15</t>
        </is>
      </c>
      <c r="M193" s="10" t="inlineStr">
        <is>
          <t>811</t>
        </is>
      </c>
      <c r="N193" s="10" t="inlineStr">
        <is>
          <t>2026-06-05</t>
        </is>
      </c>
      <c r="O193" s="11" t="inlineStr">
        <is>
          <t>https://www.roccpa.org.tw/member_search/more?id=AE74795C-E316-4CA4-A48F-1F3D9121D614</t>
        </is>
      </c>
    </row>
    <row r="194">
      <c r="A194" s="10" t="n">
        <v>193</v>
      </c>
      <c r="B194" s="11" t="inlineStr">
        <is>
          <t>勤業眾信聯合會計師事務所</t>
        </is>
      </c>
      <c r="C194" s="11" t="inlineStr">
        <is>
          <t>Deloitte 勤業眾信</t>
        </is>
      </c>
      <c r="D194" s="11" t="inlineStr">
        <is>
          <t>陳秀雯</t>
        </is>
      </c>
      <c r="E194" s="10" t="inlineStr">
        <is>
          <t>高雄分所</t>
        </is>
      </c>
      <c r="F194" s="12" t="inlineStr">
        <is>
          <t>高雄市前鎮區成功二路88號3樓</t>
        </is>
      </c>
      <c r="G194" s="12" t="inlineStr">
        <is>
          <t>台北市信義區松仁路100號20樓</t>
        </is>
      </c>
      <c r="H194" s="12" t="inlineStr">
        <is>
          <t>高雄市前鎮區成功二路88號3樓</t>
        </is>
      </c>
      <c r="I194" s="10" t="inlineStr">
        <is>
          <t>112/06/08</t>
        </is>
      </c>
      <c r="J194" s="11" t="inlineStr">
        <is>
          <t>全聯會一字第1120226</t>
        </is>
      </c>
      <c r="K194" s="10" t="inlineStr">
        <is>
          <t>高市</t>
        </is>
      </c>
      <c r="L194" s="10" t="inlineStr">
        <is>
          <t>112/06/08</t>
        </is>
      </c>
      <c r="M194" s="10" t="inlineStr">
        <is>
          <t>1105</t>
        </is>
      </c>
      <c r="N194" s="10" t="inlineStr">
        <is>
          <t>2026-06-05</t>
        </is>
      </c>
      <c r="O194" s="11" t="inlineStr">
        <is>
          <t>https://www.roccpa.org.tw/member_search/more?id=C215069B-2E52-4E2D-8538-4E9AB31BF900</t>
        </is>
      </c>
    </row>
    <row r="195">
      <c r="A195" s="10" t="n">
        <v>194</v>
      </c>
      <c r="B195" s="11" t="inlineStr">
        <is>
          <t>資誠聯合會計師事務所</t>
        </is>
      </c>
      <c r="C195" s="11" t="inlineStr">
        <is>
          <t>PwC 資誠</t>
        </is>
      </c>
      <c r="D195" s="11" t="inlineStr">
        <is>
          <t>于智帆</t>
        </is>
      </c>
      <c r="E195" s="10" t="inlineStr">
        <is>
          <t>台北總所</t>
        </is>
      </c>
      <c r="F195" s="12" t="inlineStr">
        <is>
          <t>台北市信義區基隆路一段333號27樓</t>
        </is>
      </c>
      <c r="G195" s="12" t="inlineStr">
        <is>
          <t>台北市信義區基隆路一段333號27樓</t>
        </is>
      </c>
      <c r="H195" s="12" t="inlineStr"/>
      <c r="I195" s="10" t="inlineStr">
        <is>
          <t>111/07/01</t>
        </is>
      </c>
      <c r="J195" s="11" t="inlineStr">
        <is>
          <t>全聯會一字第1110258</t>
        </is>
      </c>
      <c r="K195" s="10" t="inlineStr">
        <is>
          <t>北市</t>
        </is>
      </c>
      <c r="L195" s="10" t="inlineStr">
        <is>
          <t>111/07/01</t>
        </is>
      </c>
      <c r="M195" s="10" t="inlineStr">
        <is>
          <t>4448</t>
        </is>
      </c>
      <c r="N195" s="10" t="inlineStr">
        <is>
          <t>2026-06-05</t>
        </is>
      </c>
      <c r="O195" s="11" t="inlineStr">
        <is>
          <t>https://www.roccpa.org.tw/member_search/more?id=ADD9FA2F-90B1-4F0F-A67E-230F0A2C4CB4</t>
        </is>
      </c>
    </row>
    <row r="196">
      <c r="A196" s="10" t="n">
        <v>195</v>
      </c>
      <c r="B196" s="11" t="inlineStr">
        <is>
          <t>資誠聯合會計師事務所</t>
        </is>
      </c>
      <c r="C196" s="11" t="inlineStr">
        <is>
          <t>PwC 資誠</t>
        </is>
      </c>
      <c r="D196" s="11" t="inlineStr">
        <is>
          <t>余正富</t>
        </is>
      </c>
      <c r="E196" s="10" t="inlineStr">
        <is>
          <t>台北總所</t>
        </is>
      </c>
      <c r="F196" s="12" t="inlineStr">
        <is>
          <t>台北市信義區基隆路一段333號27樓</t>
        </is>
      </c>
      <c r="G196" s="12" t="inlineStr">
        <is>
          <t>台北市信義區基隆路一段333號27樓</t>
        </is>
      </c>
      <c r="H196" s="12" t="inlineStr"/>
      <c r="I196" s="10" t="inlineStr">
        <is>
          <t>113/07/01</t>
        </is>
      </c>
      <c r="J196" s="11" t="inlineStr">
        <is>
          <t>全聯會一字第1130000308號</t>
        </is>
      </c>
      <c r="K196" s="10" t="inlineStr">
        <is>
          <t>北市</t>
        </is>
      </c>
      <c r="L196" s="10" t="inlineStr">
        <is>
          <t>113/07/01</t>
        </is>
      </c>
      <c r="M196" s="10" t="inlineStr">
        <is>
          <t>4651</t>
        </is>
      </c>
      <c r="N196" s="10" t="inlineStr">
        <is>
          <t>2026-06-05</t>
        </is>
      </c>
      <c r="O196" s="11" t="inlineStr">
        <is>
          <t>https://www.roccpa.org.tw/member_search/more?id=A0D371E4-5BA4-4FC7-B010-A6A839F706E3</t>
        </is>
      </c>
    </row>
    <row r="197">
      <c r="A197" s="10" t="n">
        <v>196</v>
      </c>
      <c r="B197" s="11" t="inlineStr">
        <is>
          <t>資誠聯合會計師事務所</t>
        </is>
      </c>
      <c r="C197" s="11" t="inlineStr">
        <is>
          <t>PwC 資誠</t>
        </is>
      </c>
      <c r="D197" s="11" t="inlineStr">
        <is>
          <t>劉國佑</t>
        </is>
      </c>
      <c r="E197" s="10" t="inlineStr">
        <is>
          <t>台北總所</t>
        </is>
      </c>
      <c r="F197" s="12" t="inlineStr">
        <is>
          <t>台北市信義區基隆路一段333號27樓</t>
        </is>
      </c>
      <c r="G197" s="12" t="inlineStr">
        <is>
          <t>台北市信義區基隆路一段333號27樓</t>
        </is>
      </c>
      <c r="H197" s="12" t="inlineStr"/>
      <c r="I197" s="10" t="inlineStr"/>
      <c r="J197" s="11" t="inlineStr"/>
      <c r="K197" s="10" t="inlineStr">
        <is>
          <t>北市</t>
        </is>
      </c>
      <c r="L197" s="10" t="inlineStr">
        <is>
          <t>094/08/19</t>
        </is>
      </c>
      <c r="M197" s="10" t="inlineStr">
        <is>
          <t>2777</t>
        </is>
      </c>
      <c r="N197" s="10" t="inlineStr">
        <is>
          <t>2026-06-05</t>
        </is>
      </c>
      <c r="O197" s="11" t="inlineStr">
        <is>
          <t>https://www.roccpa.org.tw/member_search/more?id=C64B0BBB-A1D8-485C-828A-ED029C4C5247</t>
        </is>
      </c>
    </row>
    <row r="198">
      <c r="A198" s="10" t="n">
        <v>197</v>
      </c>
      <c r="B198" s="11" t="inlineStr">
        <is>
          <t>資誠聯合會計師事務所</t>
        </is>
      </c>
      <c r="C198" s="11" t="inlineStr">
        <is>
          <t>PwC 資誠</t>
        </is>
      </c>
      <c r="D198" s="11" t="inlineStr">
        <is>
          <t>劉欣萍</t>
        </is>
      </c>
      <c r="E198" s="10" t="inlineStr">
        <is>
          <t>台北總所</t>
        </is>
      </c>
      <c r="F198" s="12" t="inlineStr">
        <is>
          <t>台北市信義區基隆路一段333號27樓</t>
        </is>
      </c>
      <c r="G198" s="12" t="inlineStr">
        <is>
          <t>台北市信義區基隆路一段333號27樓</t>
        </is>
      </c>
      <c r="H198" s="12" t="inlineStr"/>
      <c r="I198" s="10" t="inlineStr">
        <is>
          <t>107/06/01</t>
        </is>
      </c>
      <c r="J198" s="11" t="inlineStr">
        <is>
          <t>全聯會一字第1070229</t>
        </is>
      </c>
      <c r="K198" s="10" t="inlineStr">
        <is>
          <t>北市</t>
        </is>
      </c>
      <c r="L198" s="10" t="inlineStr">
        <is>
          <t>107/06/01</t>
        </is>
      </c>
      <c r="M198" s="10" t="inlineStr">
        <is>
          <t>4100</t>
        </is>
      </c>
      <c r="N198" s="10" t="inlineStr">
        <is>
          <t>2026-06-05</t>
        </is>
      </c>
      <c r="O198" s="11" t="inlineStr">
        <is>
          <t>https://www.roccpa.org.tw/member_search/more?id=AEA8C81F-46E2-46D2-A6BB-EB4D960956D2</t>
        </is>
      </c>
    </row>
    <row r="199">
      <c r="A199" s="10" t="n">
        <v>198</v>
      </c>
      <c r="B199" s="11" t="inlineStr">
        <is>
          <t>資誠聯合會計師事務所</t>
        </is>
      </c>
      <c r="C199" s="11" t="inlineStr">
        <is>
          <t>PwC 資誠</t>
        </is>
      </c>
      <c r="D199" s="11" t="inlineStr">
        <is>
          <t>劉穎勳</t>
        </is>
      </c>
      <c r="E199" s="10" t="inlineStr">
        <is>
          <t>台北總所</t>
        </is>
      </c>
      <c r="F199" s="12" t="inlineStr">
        <is>
          <t>台北市信義區基隆路一段333號27樓</t>
        </is>
      </c>
      <c r="G199" s="12" t="inlineStr">
        <is>
          <t>台北市信義區基隆路一段333號27樓</t>
        </is>
      </c>
      <c r="H199" s="12" t="inlineStr"/>
      <c r="I199" s="10" t="inlineStr">
        <is>
          <t>104/07/01</t>
        </is>
      </c>
      <c r="J199" s="11" t="inlineStr">
        <is>
          <t>全聯會一字第1040197</t>
        </is>
      </c>
      <c r="K199" s="10" t="inlineStr">
        <is>
          <t>高市</t>
        </is>
      </c>
      <c r="L199" s="10" t="inlineStr">
        <is>
          <t>104/07/06</t>
        </is>
      </c>
      <c r="M199" s="10" t="inlineStr">
        <is>
          <t>966</t>
        </is>
      </c>
      <c r="N199" s="10" t="inlineStr">
        <is>
          <t>2026-06-05</t>
        </is>
      </c>
      <c r="O199" s="11" t="inlineStr">
        <is>
          <t>https://www.roccpa.org.tw/member_search/more?id=5E79CC7F-DE21-471F-BDBF-BDF2B2750F58</t>
        </is>
      </c>
    </row>
    <row r="200">
      <c r="A200" s="10" t="n">
        <v>199</v>
      </c>
      <c r="B200" s="11" t="inlineStr">
        <is>
          <t>資誠聯合會計師事務所</t>
        </is>
      </c>
      <c r="C200" s="11" t="inlineStr">
        <is>
          <t>PwC 資誠</t>
        </is>
      </c>
      <c r="D200" s="11" t="inlineStr">
        <is>
          <t>吳仁杰</t>
        </is>
      </c>
      <c r="E200" s="10" t="inlineStr">
        <is>
          <t>台北總所</t>
        </is>
      </c>
      <c r="F200" s="12" t="inlineStr">
        <is>
          <t>台北市信義區基隆路一段333號27樓</t>
        </is>
      </c>
      <c r="G200" s="12" t="inlineStr">
        <is>
          <t>台北市信義區基隆路一段333號27樓</t>
        </is>
      </c>
      <c r="H200" s="12" t="inlineStr"/>
      <c r="I200" s="10" t="inlineStr">
        <is>
          <t>112/06/15</t>
        </is>
      </c>
      <c r="J200" s="11" t="inlineStr">
        <is>
          <t>全聯會一字第1120234</t>
        </is>
      </c>
      <c r="K200" s="10" t="inlineStr">
        <is>
          <t>北市</t>
        </is>
      </c>
      <c r="L200" s="10" t="inlineStr">
        <is>
          <t>112/06/15</t>
        </is>
      </c>
      <c r="M200" s="10" t="inlineStr">
        <is>
          <t>4537</t>
        </is>
      </c>
      <c r="N200" s="10" t="inlineStr">
        <is>
          <t>2026-06-05</t>
        </is>
      </c>
      <c r="O200" s="11" t="inlineStr">
        <is>
          <t>https://www.roccpa.org.tw/member_search/more?id=0CEEB349-8A0E-41CF-8B76-32932241B021</t>
        </is>
      </c>
    </row>
    <row r="201">
      <c r="A201" s="10" t="n">
        <v>200</v>
      </c>
      <c r="B201" s="11" t="inlineStr">
        <is>
          <t>資誠聯合會計師事務所</t>
        </is>
      </c>
      <c r="C201" s="11" t="inlineStr">
        <is>
          <t>PwC 資誠</t>
        </is>
      </c>
      <c r="D201" s="11" t="inlineStr">
        <is>
          <t>吳偉臺</t>
        </is>
      </c>
      <c r="E201" s="10" t="inlineStr">
        <is>
          <t>台北總所</t>
        </is>
      </c>
      <c r="F201" s="12" t="inlineStr">
        <is>
          <t>台北市信義區基隆路一段333號27樓</t>
        </is>
      </c>
      <c r="G201" s="12" t="inlineStr">
        <is>
          <t>台北市信義區基隆路一段333號27樓</t>
        </is>
      </c>
      <c r="H201" s="12" t="inlineStr"/>
      <c r="I201" s="10" t="inlineStr">
        <is>
          <t>106/01/09</t>
        </is>
      </c>
      <c r="J201" s="11" t="inlineStr">
        <is>
          <t>全聯會一字第1060038</t>
        </is>
      </c>
      <c r="K201" s="10" t="inlineStr">
        <is>
          <t>北市</t>
        </is>
      </c>
      <c r="L201" s="10" t="inlineStr">
        <is>
          <t>106/01/18</t>
        </is>
      </c>
      <c r="M201" s="10" t="inlineStr">
        <is>
          <t>3987</t>
        </is>
      </c>
      <c r="N201" s="10" t="inlineStr">
        <is>
          <t>2026-06-05</t>
        </is>
      </c>
      <c r="O201" s="11" t="inlineStr">
        <is>
          <t>https://www.roccpa.org.tw/member_search/more?id=1CE1159C-AA51-4AD4-A020-AD1B88ED71F0</t>
        </is>
      </c>
    </row>
    <row r="202">
      <c r="A202" s="10" t="n">
        <v>201</v>
      </c>
      <c r="B202" s="11" t="inlineStr">
        <is>
          <t>資誠聯合會計師事務所</t>
        </is>
      </c>
      <c r="C202" s="11" t="inlineStr">
        <is>
          <t>PwC 資誠</t>
        </is>
      </c>
      <c r="D202" s="11" t="inlineStr">
        <is>
          <t>吳尚燉</t>
        </is>
      </c>
      <c r="E202" s="10" t="inlineStr">
        <is>
          <t>台北總所</t>
        </is>
      </c>
      <c r="F202" s="12" t="inlineStr">
        <is>
          <t>台北市信義區基隆路一段333號27樓</t>
        </is>
      </c>
      <c r="G202" s="12" t="inlineStr">
        <is>
          <t>台北市信義區基隆路一段333號27樓</t>
        </is>
      </c>
      <c r="H202" s="12" t="inlineStr"/>
      <c r="I202" s="10" t="inlineStr">
        <is>
          <t>110/06/15</t>
        </is>
      </c>
      <c r="J202" s="11" t="inlineStr">
        <is>
          <t>全聯會一字第1100238</t>
        </is>
      </c>
      <c r="K202" s="10" t="inlineStr">
        <is>
          <t>北市</t>
        </is>
      </c>
      <c r="L202" s="10" t="inlineStr">
        <is>
          <t>110/06/15</t>
        </is>
      </c>
      <c r="M202" s="10" t="inlineStr">
        <is>
          <t>4341</t>
        </is>
      </c>
      <c r="N202" s="10" t="inlineStr">
        <is>
          <t>2026-06-05</t>
        </is>
      </c>
      <c r="O202" s="11" t="inlineStr">
        <is>
          <t>https://www.roccpa.org.tw/member_search/more?id=57044CB0-CA29-4D3B-8EB9-911576C9C3BA</t>
        </is>
      </c>
    </row>
    <row r="203">
      <c r="A203" s="10" t="n">
        <v>202</v>
      </c>
      <c r="B203" s="11" t="inlineStr">
        <is>
          <t>資誠聯合會計師事務所</t>
        </is>
      </c>
      <c r="C203" s="11" t="inlineStr">
        <is>
          <t>PwC 資誠</t>
        </is>
      </c>
      <c r="D203" s="11" t="inlineStr">
        <is>
          <t>吳建志</t>
        </is>
      </c>
      <c r="E203" s="10" t="inlineStr">
        <is>
          <t>台北總所</t>
        </is>
      </c>
      <c r="F203" s="12" t="inlineStr">
        <is>
          <t>台北市信義區基隆路一段333號27樓</t>
        </is>
      </c>
      <c r="G203" s="12" t="inlineStr">
        <is>
          <t>台北市信義區基隆路一段333號27樓</t>
        </is>
      </c>
      <c r="H203" s="12" t="inlineStr"/>
      <c r="I203" s="10" t="inlineStr">
        <is>
          <t>103/06/11</t>
        </is>
      </c>
      <c r="J203" s="11" t="inlineStr">
        <is>
          <t>全聯會一字第1030223</t>
        </is>
      </c>
      <c r="K203" s="10" t="inlineStr">
        <is>
          <t>高市</t>
        </is>
      </c>
      <c r="L203" s="10" t="inlineStr">
        <is>
          <t>103/06/25</t>
        </is>
      </c>
      <c r="M203" s="10" t="inlineStr">
        <is>
          <t>919</t>
        </is>
      </c>
      <c r="N203" s="10" t="inlineStr">
        <is>
          <t>2026-06-05</t>
        </is>
      </c>
      <c r="O203" s="11" t="inlineStr">
        <is>
          <t>https://www.roccpa.org.tw/member_search/more?id=ECB5C458-9611-45A5-B206-B35D6A3ED3B3</t>
        </is>
      </c>
    </row>
    <row r="204">
      <c r="A204" s="10" t="n">
        <v>203</v>
      </c>
      <c r="B204" s="11" t="inlineStr">
        <is>
          <t>資誠聯合會計師事務所</t>
        </is>
      </c>
      <c r="C204" s="11" t="inlineStr">
        <is>
          <t>PwC 資誠</t>
        </is>
      </c>
      <c r="D204" s="11" t="inlineStr">
        <is>
          <t>周筱姿</t>
        </is>
      </c>
      <c r="E204" s="10" t="inlineStr">
        <is>
          <t>台北總所</t>
        </is>
      </c>
      <c r="F204" s="12" t="inlineStr">
        <is>
          <t>台北市信義區基隆路一段333號27樓</t>
        </is>
      </c>
      <c r="G204" s="12" t="inlineStr">
        <is>
          <t>台北市信義區基隆路一段333號27樓</t>
        </is>
      </c>
      <c r="H204" s="12" t="inlineStr"/>
      <c r="I204" s="10" t="inlineStr"/>
      <c r="J204" s="11" t="inlineStr"/>
      <c r="K204" s="10" t="inlineStr">
        <is>
          <t>北市</t>
        </is>
      </c>
      <c r="L204" s="10" t="inlineStr">
        <is>
          <t>085/09/17</t>
        </is>
      </c>
      <c r="M204" s="10" t="inlineStr">
        <is>
          <t>1833</t>
        </is>
      </c>
      <c r="N204" s="10" t="inlineStr">
        <is>
          <t>2026-06-05</t>
        </is>
      </c>
      <c r="O204" s="11" t="inlineStr">
        <is>
          <t>https://www.roccpa.org.tw/member_search/more?id=14B33E5F-0C83-4FD6-95CA-8DD19B150B2C</t>
        </is>
      </c>
    </row>
    <row r="205">
      <c r="A205" s="10" t="n">
        <v>204</v>
      </c>
      <c r="B205" s="11" t="inlineStr">
        <is>
          <t>資誠聯合會計師事務所</t>
        </is>
      </c>
      <c r="C205" s="11" t="inlineStr">
        <is>
          <t>PwC 資誠</t>
        </is>
      </c>
      <c r="D205" s="11" t="inlineStr">
        <is>
          <t>周莉莉</t>
        </is>
      </c>
      <c r="E205" s="10" t="inlineStr">
        <is>
          <t>台北總所</t>
        </is>
      </c>
      <c r="F205" s="12" t="inlineStr">
        <is>
          <t>台北市信義區基隆路一段333號27樓</t>
        </is>
      </c>
      <c r="G205" s="12" t="inlineStr">
        <is>
          <t>台北市信義區基隆路一段333號27樓</t>
        </is>
      </c>
      <c r="H205" s="12" t="inlineStr"/>
      <c r="I205" s="10" t="inlineStr">
        <is>
          <t>104/07/01</t>
        </is>
      </c>
      <c r="J205" s="11" t="inlineStr">
        <is>
          <t>全聯會一字第1040196</t>
        </is>
      </c>
      <c r="K205" s="10" t="inlineStr">
        <is>
          <t>北市</t>
        </is>
      </c>
      <c r="L205" s="10" t="inlineStr">
        <is>
          <t>104/07/07</t>
        </is>
      </c>
      <c r="M205" s="10" t="inlineStr">
        <is>
          <t>3843</t>
        </is>
      </c>
      <c r="N205" s="10" t="inlineStr">
        <is>
          <t>2026-06-05</t>
        </is>
      </c>
      <c r="O205" s="11" t="inlineStr">
        <is>
          <t>https://www.roccpa.org.tw/member_search/more?id=420783DE-5DCD-4324-8BC1-56CD315C9E66</t>
        </is>
      </c>
    </row>
    <row r="206">
      <c r="A206" s="10" t="n">
        <v>205</v>
      </c>
      <c r="B206" s="11" t="inlineStr">
        <is>
          <t>資誠聯合會計師事務所</t>
        </is>
      </c>
      <c r="C206" s="11" t="inlineStr">
        <is>
          <t>PwC 資誠</t>
        </is>
      </c>
      <c r="D206" s="11" t="inlineStr">
        <is>
          <t>奧田健士</t>
        </is>
      </c>
      <c r="E206" s="10" t="inlineStr">
        <is>
          <t>台北總所</t>
        </is>
      </c>
      <c r="F206" s="12" t="inlineStr">
        <is>
          <t>台北市信義區基隆路一段333號27樓</t>
        </is>
      </c>
      <c r="G206" s="12" t="inlineStr">
        <is>
          <t>台北市信義區基隆路一段333號27樓</t>
        </is>
      </c>
      <c r="H206" s="12" t="inlineStr"/>
      <c r="I206" s="10" t="inlineStr">
        <is>
          <t>110/02/01</t>
        </is>
      </c>
      <c r="J206" s="11" t="inlineStr">
        <is>
          <t>全聯會一字第1100055</t>
        </is>
      </c>
      <c r="K206" s="10" t="inlineStr">
        <is>
          <t>北市</t>
        </is>
      </c>
      <c r="L206" s="10" t="inlineStr">
        <is>
          <t>110/02/01</t>
        </is>
      </c>
      <c r="M206" s="10" t="inlineStr">
        <is>
          <t>4301</t>
        </is>
      </c>
      <c r="N206" s="10" t="inlineStr">
        <is>
          <t>2026-06-05</t>
        </is>
      </c>
      <c r="O206" s="11" t="inlineStr">
        <is>
          <t>https://www.roccpa.org.tw/member_search/more?id=5BD4D921-884E-4340-A067-3ED6FF12DD85</t>
        </is>
      </c>
    </row>
    <row r="207">
      <c r="A207" s="10" t="n">
        <v>206</v>
      </c>
      <c r="B207" s="11" t="inlineStr">
        <is>
          <t>資誠聯合會計師事務所</t>
        </is>
      </c>
      <c r="C207" s="11" t="inlineStr">
        <is>
          <t>PwC 資誠</t>
        </is>
      </c>
      <c r="D207" s="11" t="inlineStr">
        <is>
          <t>廖容翎</t>
        </is>
      </c>
      <c r="E207" s="10" t="inlineStr">
        <is>
          <t>台北總所</t>
        </is>
      </c>
      <c r="F207" s="12" t="inlineStr">
        <is>
          <t>台北市信義區基隆路一段333號27樓</t>
        </is>
      </c>
      <c r="G207" s="12" t="inlineStr">
        <is>
          <t>台北市信義區基隆路一段333號27樓</t>
        </is>
      </c>
      <c r="H207" s="12" t="inlineStr"/>
      <c r="I207" s="10" t="inlineStr">
        <is>
          <t>112/06/15</t>
        </is>
      </c>
      <c r="J207" s="11" t="inlineStr">
        <is>
          <t>全聯會一字第1120236</t>
        </is>
      </c>
      <c r="K207" s="10" t="inlineStr">
        <is>
          <t>北市</t>
        </is>
      </c>
      <c r="L207" s="10" t="inlineStr">
        <is>
          <t>112/06/15</t>
        </is>
      </c>
      <c r="M207" s="10" t="inlineStr">
        <is>
          <t>4539</t>
        </is>
      </c>
      <c r="N207" s="10" t="inlineStr">
        <is>
          <t>2026-06-05</t>
        </is>
      </c>
      <c r="O207" s="11" t="inlineStr">
        <is>
          <t>https://www.roccpa.org.tw/member_search/more?id=4615F950-C870-4BFE-B272-B3DDACA55B41</t>
        </is>
      </c>
    </row>
    <row r="208">
      <c r="A208" s="10" t="n">
        <v>207</v>
      </c>
      <c r="B208" s="11" t="inlineStr">
        <is>
          <t>資誠聯合會計師事務所</t>
        </is>
      </c>
      <c r="C208" s="11" t="inlineStr">
        <is>
          <t>PwC 資誠</t>
        </is>
      </c>
      <c r="D208" s="11" t="inlineStr">
        <is>
          <t>廖福銘</t>
        </is>
      </c>
      <c r="E208" s="10" t="inlineStr">
        <is>
          <t>台北總所</t>
        </is>
      </c>
      <c r="F208" s="12" t="inlineStr">
        <is>
          <t>台北市信義區基隆路一段333號27樓</t>
        </is>
      </c>
      <c r="G208" s="12" t="inlineStr">
        <is>
          <t>台北市信義區基隆路一段333號27樓</t>
        </is>
      </c>
      <c r="H208" s="12" t="inlineStr"/>
      <c r="I208" s="10" t="inlineStr">
        <is>
          <t>109/07/01</t>
        </is>
      </c>
      <c r="J208" s="11" t="inlineStr">
        <is>
          <t>全聯會一字第1090240</t>
        </is>
      </c>
      <c r="K208" s="10" t="inlineStr">
        <is>
          <t>北市</t>
        </is>
      </c>
      <c r="L208" s="10" t="inlineStr">
        <is>
          <t>109/07/01</t>
        </is>
      </c>
      <c r="M208" s="10" t="inlineStr">
        <is>
          <t>4263</t>
        </is>
      </c>
      <c r="N208" s="10" t="inlineStr">
        <is>
          <t>2026-06-05</t>
        </is>
      </c>
      <c r="O208" s="11" t="inlineStr">
        <is>
          <t>https://www.roccpa.org.tw/member_search/more?id=BB108312-90E1-46B0-9831-FAB84B5825DE</t>
        </is>
      </c>
    </row>
    <row r="209">
      <c r="A209" s="10" t="n">
        <v>208</v>
      </c>
      <c r="B209" s="11" t="inlineStr">
        <is>
          <t>資誠聯合會計師事務所</t>
        </is>
      </c>
      <c r="C209" s="11" t="inlineStr">
        <is>
          <t>PwC 資誠</t>
        </is>
      </c>
      <c r="D209" s="11" t="inlineStr">
        <is>
          <t>廖阿甚</t>
        </is>
      </c>
      <c r="E209" s="10" t="inlineStr">
        <is>
          <t>台北總所</t>
        </is>
      </c>
      <c r="F209" s="12" t="inlineStr">
        <is>
          <t>台北市信義區基隆路一段333號27樓</t>
        </is>
      </c>
      <c r="G209" s="12" t="inlineStr">
        <is>
          <t>台北市信義區基隆路一段333號27樓</t>
        </is>
      </c>
      <c r="H209" s="12" t="inlineStr"/>
      <c r="I209" s="10" t="inlineStr">
        <is>
          <t>101/03/30</t>
        </is>
      </c>
      <c r="J209" s="11" t="inlineStr">
        <is>
          <t>全聯會一字第1010109</t>
        </is>
      </c>
      <c r="K209" s="10" t="inlineStr">
        <is>
          <t>高市</t>
        </is>
      </c>
      <c r="L209" s="10" t="inlineStr">
        <is>
          <t>101/06/26</t>
        </is>
      </c>
      <c r="M209" s="10" t="inlineStr">
        <is>
          <t>813</t>
        </is>
      </c>
      <c r="N209" s="10" t="inlineStr">
        <is>
          <t>2026-06-05</t>
        </is>
      </c>
      <c r="O209" s="11" t="inlineStr">
        <is>
          <t>https://www.roccpa.org.tw/member_search/more?id=F800D243-56A1-4459-9EC3-2514C5740609</t>
        </is>
      </c>
    </row>
    <row r="210">
      <c r="A210" s="10" t="n">
        <v>209</v>
      </c>
      <c r="B210" s="11" t="inlineStr">
        <is>
          <t>資誠聯合會計師事務所</t>
        </is>
      </c>
      <c r="C210" s="11" t="inlineStr">
        <is>
          <t>PwC 資誠</t>
        </is>
      </c>
      <c r="D210" s="11" t="inlineStr">
        <is>
          <t>張凱智</t>
        </is>
      </c>
      <c r="E210" s="10" t="inlineStr">
        <is>
          <t>台北總所</t>
        </is>
      </c>
      <c r="F210" s="12" t="inlineStr">
        <is>
          <t>台北市信義區基隆路一段333號27樓</t>
        </is>
      </c>
      <c r="G210" s="12" t="inlineStr">
        <is>
          <t>台北市信義區基隆路一段333號27樓</t>
        </is>
      </c>
      <c r="H210" s="12" t="inlineStr"/>
      <c r="I210" s="10" t="inlineStr">
        <is>
          <t>111/08/01</t>
        </is>
      </c>
      <c r="J210" s="11" t="inlineStr">
        <is>
          <t>全聯會一字第1110311</t>
        </is>
      </c>
      <c r="K210" s="10" t="inlineStr">
        <is>
          <t>北市</t>
        </is>
      </c>
      <c r="L210" s="10" t="inlineStr">
        <is>
          <t>111/08/01</t>
        </is>
      </c>
      <c r="M210" s="10" t="inlineStr">
        <is>
          <t>4453</t>
        </is>
      </c>
      <c r="N210" s="10" t="inlineStr">
        <is>
          <t>2026-06-05</t>
        </is>
      </c>
      <c r="O210" s="11" t="inlineStr">
        <is>
          <t>https://www.roccpa.org.tw/member_search/more?id=068B9D16-7683-4756-9F9D-D0D084A9982F</t>
        </is>
      </c>
    </row>
    <row r="211">
      <c r="A211" s="10" t="n">
        <v>210</v>
      </c>
      <c r="B211" s="11" t="inlineStr">
        <is>
          <t>資誠聯合會計師事務所</t>
        </is>
      </c>
      <c r="C211" s="11" t="inlineStr">
        <is>
          <t>PwC 資誠</t>
        </is>
      </c>
      <c r="D211" s="11" t="inlineStr">
        <is>
          <t>張家荃</t>
        </is>
      </c>
      <c r="E211" s="10" t="inlineStr">
        <is>
          <t>台北總所</t>
        </is>
      </c>
      <c r="F211" s="12" t="inlineStr">
        <is>
          <t>台北市信義區基隆路一段333號27樓</t>
        </is>
      </c>
      <c r="G211" s="12" t="inlineStr">
        <is>
          <t>台北市信義區基隆路一段333號27樓</t>
        </is>
      </c>
      <c r="H211" s="12" t="inlineStr"/>
      <c r="I211" s="10" t="inlineStr">
        <is>
          <t>114/07/01</t>
        </is>
      </c>
      <c r="J211" s="11" t="inlineStr">
        <is>
          <t>全聯會一字第1140000268號</t>
        </is>
      </c>
      <c r="K211" s="10" t="inlineStr">
        <is>
          <t>北市</t>
        </is>
      </c>
      <c r="L211" s="10" t="inlineStr">
        <is>
          <t>114/07/01</t>
        </is>
      </c>
      <c r="M211" s="10" t="inlineStr">
        <is>
          <t>4737</t>
        </is>
      </c>
      <c r="N211" s="10" t="inlineStr">
        <is>
          <t>2026-06-05</t>
        </is>
      </c>
      <c r="O211" s="11" t="inlineStr">
        <is>
          <t>https://www.roccpa.org.tw/member_search/more?id=9AD3652A-72F1-4586-ADD5-845B0D902425</t>
        </is>
      </c>
    </row>
    <row r="212">
      <c r="A212" s="10" t="n">
        <v>211</v>
      </c>
      <c r="B212" s="11" t="inlineStr">
        <is>
          <t>資誠聯合會計師事務所</t>
        </is>
      </c>
      <c r="C212" s="11" t="inlineStr">
        <is>
          <t>PwC 資誠</t>
        </is>
      </c>
      <c r="D212" s="11" t="inlineStr">
        <is>
          <t>張志安</t>
        </is>
      </c>
      <c r="E212" s="10" t="inlineStr">
        <is>
          <t>台北總所</t>
        </is>
      </c>
      <c r="F212" s="12" t="inlineStr">
        <is>
          <t>台北市信義區基隆路一段333號27樓</t>
        </is>
      </c>
      <c r="G212" s="12" t="inlineStr">
        <is>
          <t>台北市信義區基隆路一段333號27樓</t>
        </is>
      </c>
      <c r="H212" s="12" t="inlineStr"/>
      <c r="I212" s="10" t="inlineStr"/>
      <c r="J212" s="11" t="inlineStr"/>
      <c r="K212" s="10" t="inlineStr">
        <is>
          <t>中市</t>
        </is>
      </c>
      <c r="L212" s="10" t="inlineStr">
        <is>
          <t>100/12/29</t>
        </is>
      </c>
      <c r="M212" s="10" t="inlineStr">
        <is>
          <t>288</t>
        </is>
      </c>
      <c r="N212" s="10" t="inlineStr">
        <is>
          <t>2026-06-05</t>
        </is>
      </c>
      <c r="O212" s="11" t="inlineStr">
        <is>
          <t>https://www.roccpa.org.tw/member_search/more?id=332472A1-B02E-43F7-BA31-03FDD54569D4</t>
        </is>
      </c>
    </row>
    <row r="213">
      <c r="A213" s="10" t="n">
        <v>212</v>
      </c>
      <c r="B213" s="11" t="inlineStr">
        <is>
          <t>資誠聯合會計師事務所</t>
        </is>
      </c>
      <c r="C213" s="11" t="inlineStr">
        <is>
          <t>PwC 資誠</t>
        </is>
      </c>
      <c r="D213" s="11" t="inlineStr">
        <is>
          <t>張淑瓊</t>
        </is>
      </c>
      <c r="E213" s="10" t="inlineStr">
        <is>
          <t>台北總所</t>
        </is>
      </c>
      <c r="F213" s="12" t="inlineStr">
        <is>
          <t>台北市信義區基隆路一段333號27樓</t>
        </is>
      </c>
      <c r="G213" s="12" t="inlineStr">
        <is>
          <t>台北市信義區基隆路一段333號27樓</t>
        </is>
      </c>
      <c r="H213" s="12" t="inlineStr"/>
      <c r="I213" s="10" t="inlineStr">
        <is>
          <t>099/07/09</t>
        </is>
      </c>
      <c r="J213" s="11" t="inlineStr">
        <is>
          <t>全聯會一字第09900322</t>
        </is>
      </c>
      <c r="K213" s="10" t="inlineStr">
        <is>
          <t>北市</t>
        </is>
      </c>
      <c r="L213" s="10" t="inlineStr">
        <is>
          <t>099/07/19</t>
        </is>
      </c>
      <c r="M213" s="10" t="inlineStr">
        <is>
          <t>3245</t>
        </is>
      </c>
      <c r="N213" s="10" t="inlineStr">
        <is>
          <t>2026-06-05</t>
        </is>
      </c>
      <c r="O213" s="11" t="inlineStr">
        <is>
          <t>https://www.roccpa.org.tw/member_search/more?id=EE7FC356-E1A2-4B7C-9458-7AEDD7535A7E</t>
        </is>
      </c>
    </row>
    <row r="214">
      <c r="A214" s="10" t="n">
        <v>213</v>
      </c>
      <c r="B214" s="11" t="inlineStr">
        <is>
          <t>資誠聯合會計師事務所</t>
        </is>
      </c>
      <c r="C214" s="11" t="inlineStr">
        <is>
          <t>PwC 資誠</t>
        </is>
      </c>
      <c r="D214" s="11" t="inlineStr">
        <is>
          <t>張珍綺</t>
        </is>
      </c>
      <c r="E214" s="10" t="inlineStr">
        <is>
          <t>台北總所</t>
        </is>
      </c>
      <c r="F214" s="12" t="inlineStr">
        <is>
          <t>台北市信義區基隆路一段333號27樓</t>
        </is>
      </c>
      <c r="G214" s="12" t="inlineStr">
        <is>
          <t>台北市信義區基隆路一段333號27樓</t>
        </is>
      </c>
      <c r="H214" s="12" t="inlineStr"/>
      <c r="I214" s="10" t="inlineStr">
        <is>
          <t>115/07/01</t>
        </is>
      </c>
      <c r="J214" s="11" t="inlineStr">
        <is>
          <t>全聯會一字第1150000324號</t>
        </is>
      </c>
      <c r="K214" s="10" t="inlineStr">
        <is>
          <t>北市</t>
        </is>
      </c>
      <c r="L214" s="10" t="inlineStr">
        <is>
          <t>115/07/01</t>
        </is>
      </c>
      <c r="M214" s="10" t="inlineStr">
        <is>
          <t>4912</t>
        </is>
      </c>
      <c r="N214" s="10" t="inlineStr">
        <is>
          <t>2026-07-06</t>
        </is>
      </c>
      <c r="O214" s="11" t="inlineStr">
        <is>
          <t>https://www.roccpa.org.tw/member_search/more?id=dca64c68795c4e8999caf2a3d6ea4688</t>
        </is>
      </c>
    </row>
    <row r="215">
      <c r="A215" s="10" t="n">
        <v>214</v>
      </c>
      <c r="B215" s="11" t="inlineStr">
        <is>
          <t>資誠聯合會計師事務所</t>
        </is>
      </c>
      <c r="C215" s="11" t="inlineStr">
        <is>
          <t>PwC 資誠</t>
        </is>
      </c>
      <c r="D215" s="11" t="inlineStr">
        <is>
          <t>張瑞婷</t>
        </is>
      </c>
      <c r="E215" s="10" t="inlineStr">
        <is>
          <t>台北總所</t>
        </is>
      </c>
      <c r="F215" s="12" t="inlineStr">
        <is>
          <t>台北市信義區基隆路一段333號27樓</t>
        </is>
      </c>
      <c r="G215" s="12" t="inlineStr">
        <is>
          <t>台北市信義區基隆路一段333號27樓</t>
        </is>
      </c>
      <c r="H215" s="12" t="inlineStr"/>
      <c r="I215" s="10" t="inlineStr">
        <is>
          <t>107/06/01</t>
        </is>
      </c>
      <c r="J215" s="11" t="inlineStr">
        <is>
          <t>全聯會一字第1070227</t>
        </is>
      </c>
      <c r="K215" s="10" t="inlineStr">
        <is>
          <t>北市</t>
        </is>
      </c>
      <c r="L215" s="10" t="inlineStr">
        <is>
          <t>107/06/01</t>
        </is>
      </c>
      <c r="M215" s="10" t="inlineStr">
        <is>
          <t>4098</t>
        </is>
      </c>
      <c r="N215" s="10" t="inlineStr">
        <is>
          <t>2026-06-05</t>
        </is>
      </c>
      <c r="O215" s="11" t="inlineStr">
        <is>
          <t>https://www.roccpa.org.tw/member_search/more?id=73D7038F-FAD5-4EA3-873E-53009AB2756A</t>
        </is>
      </c>
    </row>
    <row r="216">
      <c r="A216" s="10" t="n">
        <v>215</v>
      </c>
      <c r="B216" s="11" t="inlineStr">
        <is>
          <t>資誠聯合會計師事務所</t>
        </is>
      </c>
      <c r="C216" s="11" t="inlineStr">
        <is>
          <t>PwC 資誠</t>
        </is>
      </c>
      <c r="D216" s="11" t="inlineStr">
        <is>
          <t>徐丞毅</t>
        </is>
      </c>
      <c r="E216" s="10" t="inlineStr">
        <is>
          <t>台北總所</t>
        </is>
      </c>
      <c r="F216" s="12" t="inlineStr">
        <is>
          <t>台北市信義區基隆路一段333號27樓</t>
        </is>
      </c>
      <c r="G216" s="12" t="inlineStr">
        <is>
          <t>台北市信義區基隆路一段333號27樓</t>
        </is>
      </c>
      <c r="H216" s="12" t="inlineStr"/>
      <c r="I216" s="10" t="inlineStr">
        <is>
          <t>109/07/01</t>
        </is>
      </c>
      <c r="J216" s="11" t="inlineStr">
        <is>
          <t>全聯會一字第1090239</t>
        </is>
      </c>
      <c r="K216" s="10" t="inlineStr">
        <is>
          <t>北市</t>
        </is>
      </c>
      <c r="L216" s="10" t="inlineStr">
        <is>
          <t>109/07/01</t>
        </is>
      </c>
      <c r="M216" s="10" t="inlineStr">
        <is>
          <t>4262</t>
        </is>
      </c>
      <c r="N216" s="10" t="inlineStr">
        <is>
          <t>2026-06-05</t>
        </is>
      </c>
      <c r="O216" s="11" t="inlineStr">
        <is>
          <t>https://www.roccpa.org.tw/member_search/more?id=74839B88-1FD8-4ADA-BA5A-5957D9785751</t>
        </is>
      </c>
    </row>
    <row r="217">
      <c r="A217" s="10" t="n">
        <v>216</v>
      </c>
      <c r="B217" s="11" t="inlineStr">
        <is>
          <t>資誠聯合會計師事務所</t>
        </is>
      </c>
      <c r="C217" s="11" t="inlineStr">
        <is>
          <t>PwC 資誠</t>
        </is>
      </c>
      <c r="D217" s="11" t="inlineStr">
        <is>
          <t>徐明釧</t>
        </is>
      </c>
      <c r="E217" s="10" t="inlineStr">
        <is>
          <t>台北總所</t>
        </is>
      </c>
      <c r="F217" s="12" t="inlineStr">
        <is>
          <t>台北市信義區基隆路一段333號27樓</t>
        </is>
      </c>
      <c r="G217" s="12" t="inlineStr">
        <is>
          <t>台北市信義區基隆路一段333號27樓</t>
        </is>
      </c>
      <c r="H217" s="12" t="inlineStr"/>
      <c r="I217" s="10" t="inlineStr">
        <is>
          <t>105/06/22</t>
        </is>
      </c>
      <c r="J217" s="11" t="inlineStr">
        <is>
          <t>全聯會一字第1050272</t>
        </is>
      </c>
      <c r="K217" s="10" t="inlineStr">
        <is>
          <t>北市</t>
        </is>
      </c>
      <c r="L217" s="10" t="inlineStr">
        <is>
          <t>105/07/21</t>
        </is>
      </c>
      <c r="M217" s="10" t="inlineStr">
        <is>
          <t>3944</t>
        </is>
      </c>
      <c r="N217" s="10" t="inlineStr">
        <is>
          <t>2026-06-05</t>
        </is>
      </c>
      <c r="O217" s="11" t="inlineStr">
        <is>
          <t>https://www.roccpa.org.tw/member_search/more?id=D86185B7-A5D2-427B-B7F0-B769AB4A9E1E</t>
        </is>
      </c>
    </row>
    <row r="218">
      <c r="A218" s="10" t="n">
        <v>217</v>
      </c>
      <c r="B218" s="11" t="inlineStr">
        <is>
          <t>資誠聯合會計師事務所</t>
        </is>
      </c>
      <c r="C218" s="11" t="inlineStr">
        <is>
          <t>PwC 資誠</t>
        </is>
      </c>
      <c r="D218" s="11" t="inlineStr">
        <is>
          <t>徐潔如</t>
        </is>
      </c>
      <c r="E218" s="10" t="inlineStr">
        <is>
          <t>台北總所</t>
        </is>
      </c>
      <c r="F218" s="12" t="inlineStr">
        <is>
          <t>台北市信義區基隆路一段333號27樓</t>
        </is>
      </c>
      <c r="G218" s="12" t="inlineStr">
        <is>
          <t>台北市信義區基隆路一段333號27樓</t>
        </is>
      </c>
      <c r="H218" s="12" t="inlineStr"/>
      <c r="I218" s="10" t="inlineStr">
        <is>
          <t>110/06/15</t>
        </is>
      </c>
      <c r="J218" s="11" t="inlineStr">
        <is>
          <t>全聯會一字第1100239</t>
        </is>
      </c>
      <c r="K218" s="10" t="inlineStr">
        <is>
          <t>北市</t>
        </is>
      </c>
      <c r="L218" s="10" t="inlineStr">
        <is>
          <t>110/06/15</t>
        </is>
      </c>
      <c r="M218" s="10" t="inlineStr">
        <is>
          <t>4342</t>
        </is>
      </c>
      <c r="N218" s="10" t="inlineStr">
        <is>
          <t>2026-06-05</t>
        </is>
      </c>
      <c r="O218" s="11" t="inlineStr">
        <is>
          <t>https://www.roccpa.org.tw/member_search/more?id=27C4F48A-33B6-417F-9A21-E926975A5473</t>
        </is>
      </c>
    </row>
    <row r="219">
      <c r="A219" s="10" t="n">
        <v>218</v>
      </c>
      <c r="B219" s="11" t="inlineStr">
        <is>
          <t>資誠聯合會計師事務所</t>
        </is>
      </c>
      <c r="C219" s="11" t="inlineStr">
        <is>
          <t>PwC 資誠</t>
        </is>
      </c>
      <c r="D219" s="11" t="inlineStr">
        <is>
          <t>徐聖忠</t>
        </is>
      </c>
      <c r="E219" s="10" t="inlineStr">
        <is>
          <t>台北總所</t>
        </is>
      </c>
      <c r="F219" s="12" t="inlineStr">
        <is>
          <t>台北市信義區基隆路一段333號27樓</t>
        </is>
      </c>
      <c r="G219" s="12" t="inlineStr">
        <is>
          <t>台北市信義區基隆路一段333號27樓</t>
        </is>
      </c>
      <c r="H219" s="12" t="inlineStr"/>
      <c r="I219" s="10" t="inlineStr">
        <is>
          <t>101/06/27</t>
        </is>
      </c>
      <c r="J219" s="11" t="inlineStr">
        <is>
          <t>全聯會一字第1010196</t>
        </is>
      </c>
      <c r="K219" s="10" t="inlineStr">
        <is>
          <t>北市</t>
        </is>
      </c>
      <c r="L219" s="10" t="inlineStr">
        <is>
          <t>101/07/06</t>
        </is>
      </c>
      <c r="M219" s="10" t="inlineStr">
        <is>
          <t>3477</t>
        </is>
      </c>
      <c r="N219" s="10" t="inlineStr">
        <is>
          <t>2026-06-05</t>
        </is>
      </c>
      <c r="O219" s="11" t="inlineStr">
        <is>
          <t>https://www.roccpa.org.tw/member_search/more?id=66C7DBB9-2CAB-4DFC-A367-84EC067254E9</t>
        </is>
      </c>
    </row>
    <row r="220">
      <c r="A220" s="10" t="n">
        <v>219</v>
      </c>
      <c r="B220" s="11" t="inlineStr">
        <is>
          <t>資誠聯合會計師事務所</t>
        </is>
      </c>
      <c r="C220" s="11" t="inlineStr">
        <is>
          <t>PwC 資誠</t>
        </is>
      </c>
      <c r="D220" s="11" t="inlineStr">
        <is>
          <t>徐麗珍</t>
        </is>
      </c>
      <c r="E220" s="10" t="inlineStr">
        <is>
          <t>台北總所</t>
        </is>
      </c>
      <c r="F220" s="12" t="inlineStr">
        <is>
          <t>台北市信義區基隆路一段333號27樓</t>
        </is>
      </c>
      <c r="G220" s="12" t="inlineStr">
        <is>
          <t>台北市信義區基隆路一段333號27樓</t>
        </is>
      </c>
      <c r="H220" s="12" t="inlineStr"/>
      <c r="I220" s="10" t="inlineStr"/>
      <c r="J220" s="11" t="inlineStr"/>
      <c r="K220" s="10" t="inlineStr">
        <is>
          <t>北市</t>
        </is>
      </c>
      <c r="L220" s="10" t="inlineStr">
        <is>
          <t>094/08/19</t>
        </is>
      </c>
      <c r="M220" s="10" t="inlineStr">
        <is>
          <t>2778</t>
        </is>
      </c>
      <c r="N220" s="10" t="inlineStr">
        <is>
          <t>2026-06-05</t>
        </is>
      </c>
      <c r="O220" s="11" t="inlineStr">
        <is>
          <t>https://www.roccpa.org.tw/member_search/more?id=DAB542FE-3AB5-4948-AD71-F0D241EC1165</t>
        </is>
      </c>
    </row>
    <row r="221">
      <c r="A221" s="10" t="n">
        <v>220</v>
      </c>
      <c r="B221" s="11" t="inlineStr">
        <is>
          <t>資誠聯合會計師事務所</t>
        </is>
      </c>
      <c r="C221" s="11" t="inlineStr">
        <is>
          <t>PwC 資誠</t>
        </is>
      </c>
      <c r="D221" s="11" t="inlineStr">
        <is>
          <t>支秉鈞</t>
        </is>
      </c>
      <c r="E221" s="10" t="inlineStr">
        <is>
          <t>台北總所</t>
        </is>
      </c>
      <c r="F221" s="12" t="inlineStr">
        <is>
          <t>台北市信義區基隆路一段333號27樓</t>
        </is>
      </c>
      <c r="G221" s="12" t="inlineStr">
        <is>
          <t>台北市信義區基隆路一段333號27樓</t>
        </is>
      </c>
      <c r="H221" s="12" t="inlineStr"/>
      <c r="I221" s="10" t="inlineStr"/>
      <c r="J221" s="11" t="inlineStr"/>
      <c r="K221" s="10" t="inlineStr">
        <is>
          <t>北市</t>
        </is>
      </c>
      <c r="L221" s="10" t="inlineStr">
        <is>
          <t>087/11/02</t>
        </is>
      </c>
      <c r="M221" s="10" t="inlineStr">
        <is>
          <t>2087</t>
        </is>
      </c>
      <c r="N221" s="10" t="inlineStr">
        <is>
          <t>2026-06-05</t>
        </is>
      </c>
      <c r="O221" s="11" t="inlineStr">
        <is>
          <t>https://www.roccpa.org.tw/member_search/more?id=C3C4EFCE-A0AD-4229-BE5F-29E997D6E606</t>
        </is>
      </c>
    </row>
    <row r="222">
      <c r="A222" s="10" t="n">
        <v>221</v>
      </c>
      <c r="B222" s="11" t="inlineStr">
        <is>
          <t>資誠聯合會計師事務所</t>
        </is>
      </c>
      <c r="C222" s="11" t="inlineStr">
        <is>
          <t>PwC 資誠</t>
        </is>
      </c>
      <c r="D222" s="11" t="inlineStr">
        <is>
          <t>文雅芳</t>
        </is>
      </c>
      <c r="E222" s="10" t="inlineStr">
        <is>
          <t>台北總所</t>
        </is>
      </c>
      <c r="F222" s="12" t="inlineStr">
        <is>
          <t>台北市信義區基隆路一段333號27樓</t>
        </is>
      </c>
      <c r="G222" s="12" t="inlineStr">
        <is>
          <t>台北市信義區基隆路一段333號27樓</t>
        </is>
      </c>
      <c r="H222" s="12" t="inlineStr"/>
      <c r="I222" s="10" t="inlineStr">
        <is>
          <t>110/06/15</t>
        </is>
      </c>
      <c r="J222" s="11" t="inlineStr">
        <is>
          <t>全聯會一字第1100240</t>
        </is>
      </c>
      <c r="K222" s="10" t="inlineStr">
        <is>
          <t>北市</t>
        </is>
      </c>
      <c r="L222" s="10" t="inlineStr">
        <is>
          <t>110/06/15</t>
        </is>
      </c>
      <c r="M222" s="10" t="inlineStr">
        <is>
          <t>4343</t>
        </is>
      </c>
      <c r="N222" s="10" t="inlineStr">
        <is>
          <t>2026-06-05</t>
        </is>
      </c>
      <c r="O222" s="11" t="inlineStr">
        <is>
          <t>https://www.roccpa.org.tw/member_search/more?id=DE57BFF4-7164-4A93-A425-1CE132EE8353</t>
        </is>
      </c>
    </row>
    <row r="223">
      <c r="A223" s="10" t="n">
        <v>222</v>
      </c>
      <c r="B223" s="11" t="inlineStr">
        <is>
          <t>資誠聯合會計師事務所</t>
        </is>
      </c>
      <c r="C223" s="11" t="inlineStr">
        <is>
          <t>PwC 資誠</t>
        </is>
      </c>
      <c r="D223" s="11" t="inlineStr">
        <is>
          <t>施敏智</t>
        </is>
      </c>
      <c r="E223" s="10" t="inlineStr">
        <is>
          <t>台北總所</t>
        </is>
      </c>
      <c r="F223" s="12" t="inlineStr">
        <is>
          <t>台北市信義區基隆路一段333號27樓</t>
        </is>
      </c>
      <c r="G223" s="12" t="inlineStr">
        <is>
          <t>台北市信義區基隆路一段333號27樓</t>
        </is>
      </c>
      <c r="H223" s="12" t="inlineStr"/>
      <c r="I223" s="10" t="inlineStr">
        <is>
          <t>110/07/19</t>
        </is>
      </c>
      <c r="J223" s="11" t="inlineStr">
        <is>
          <t>全聯會一字第1100285</t>
        </is>
      </c>
      <c r="K223" s="10" t="inlineStr">
        <is>
          <t>北市</t>
        </is>
      </c>
      <c r="L223" s="10" t="inlineStr">
        <is>
          <t>110/07/19</t>
        </is>
      </c>
      <c r="M223" s="10" t="inlineStr">
        <is>
          <t>4359</t>
        </is>
      </c>
      <c r="N223" s="10" t="inlineStr">
        <is>
          <t>2026-06-05</t>
        </is>
      </c>
      <c r="O223" s="11" t="inlineStr">
        <is>
          <t>https://www.roccpa.org.tw/member_search/more?id=32F16146-FA80-4510-9F4D-5C6B952F3F91</t>
        </is>
      </c>
    </row>
    <row r="224">
      <c r="A224" s="10" t="n">
        <v>223</v>
      </c>
      <c r="B224" s="11" t="inlineStr">
        <is>
          <t>資誠聯合會計師事務所</t>
        </is>
      </c>
      <c r="C224" s="11" t="inlineStr">
        <is>
          <t>PwC 資誠</t>
        </is>
      </c>
      <c r="D224" s="11" t="inlineStr">
        <is>
          <t>曾博昇</t>
        </is>
      </c>
      <c r="E224" s="10" t="inlineStr">
        <is>
          <t>台北總所</t>
        </is>
      </c>
      <c r="F224" s="12" t="inlineStr">
        <is>
          <t>台北市信義區基隆路一段333號27樓</t>
        </is>
      </c>
      <c r="G224" s="12" t="inlineStr">
        <is>
          <t>台北市信義區基隆路一段333號27樓</t>
        </is>
      </c>
      <c r="H224" s="12" t="inlineStr"/>
      <c r="I224" s="10" t="inlineStr">
        <is>
          <t>105/06/22</t>
        </is>
      </c>
      <c r="J224" s="11" t="inlineStr">
        <is>
          <t>全聯會一字第1050274</t>
        </is>
      </c>
      <c r="K224" s="10" t="inlineStr">
        <is>
          <t>北市</t>
        </is>
      </c>
      <c r="L224" s="10" t="inlineStr">
        <is>
          <t>105/07/21</t>
        </is>
      </c>
      <c r="M224" s="10" t="inlineStr">
        <is>
          <t>3946</t>
        </is>
      </c>
      <c r="N224" s="10" t="inlineStr">
        <is>
          <t>2026-06-05</t>
        </is>
      </c>
      <c r="O224" s="11" t="inlineStr">
        <is>
          <t>https://www.roccpa.org.tw/member_search/more?id=85A5842F-F961-46B2-A4A6-1B5EBEF3DDD0</t>
        </is>
      </c>
    </row>
    <row r="225">
      <c r="A225" s="10" t="n">
        <v>224</v>
      </c>
      <c r="B225" s="11" t="inlineStr">
        <is>
          <t>資誠聯合會計師事務所</t>
        </is>
      </c>
      <c r="C225" s="11" t="inlineStr">
        <is>
          <t>PwC 資誠</t>
        </is>
      </c>
      <c r="D225" s="11" t="inlineStr">
        <is>
          <t>李南漢</t>
        </is>
      </c>
      <c r="E225" s="10" t="inlineStr">
        <is>
          <t>台北總所</t>
        </is>
      </c>
      <c r="F225" s="12" t="inlineStr">
        <is>
          <t>台北市信義區基隆路一段333號27樓</t>
        </is>
      </c>
      <c r="G225" s="12" t="inlineStr">
        <is>
          <t>台北市信義區基隆路一段333號27樓</t>
        </is>
      </c>
      <c r="H225" s="12" t="inlineStr"/>
      <c r="I225" s="10" t="inlineStr">
        <is>
          <t>115/07/01</t>
        </is>
      </c>
      <c r="J225" s="11" t="inlineStr">
        <is>
          <t>全聯會一字第1150000326號</t>
        </is>
      </c>
      <c r="K225" s="10" t="inlineStr">
        <is>
          <t>北市</t>
        </is>
      </c>
      <c r="L225" s="10" t="inlineStr">
        <is>
          <t>115/07/01</t>
        </is>
      </c>
      <c r="M225" s="10" t="inlineStr">
        <is>
          <t>4914</t>
        </is>
      </c>
      <c r="N225" s="10" t="inlineStr">
        <is>
          <t>2026-07-06</t>
        </is>
      </c>
      <c r="O225" s="11" t="inlineStr">
        <is>
          <t>https://www.roccpa.org.tw/member_search/more?id=581be078a8cc4cf68ba2413c163c548e</t>
        </is>
      </c>
    </row>
    <row r="226">
      <c r="A226" s="10" t="n">
        <v>225</v>
      </c>
      <c r="B226" s="11" t="inlineStr">
        <is>
          <t>資誠聯合會計師事務所</t>
        </is>
      </c>
      <c r="C226" s="11" t="inlineStr">
        <is>
          <t>PwC 資誠</t>
        </is>
      </c>
      <c r="D226" s="11" t="inlineStr">
        <is>
          <t>李宜樺</t>
        </is>
      </c>
      <c r="E226" s="10" t="inlineStr">
        <is>
          <t>台北總所</t>
        </is>
      </c>
      <c r="F226" s="12" t="inlineStr">
        <is>
          <t>台北市信義區基隆路一段333號27樓</t>
        </is>
      </c>
      <c r="G226" s="12" t="inlineStr">
        <is>
          <t>台北市信義區基隆路一段333號27樓</t>
        </is>
      </c>
      <c r="H226" s="12" t="inlineStr"/>
      <c r="I226" s="10" t="inlineStr"/>
      <c r="J226" s="11" t="inlineStr"/>
      <c r="K226" s="10" t="inlineStr">
        <is>
          <t>北市</t>
        </is>
      </c>
      <c r="L226" s="10" t="inlineStr">
        <is>
          <t>095/12/01</t>
        </is>
      </c>
      <c r="M226" s="10" t="inlineStr">
        <is>
          <t>2891</t>
        </is>
      </c>
      <c r="N226" s="10" t="inlineStr">
        <is>
          <t>2026-06-05</t>
        </is>
      </c>
      <c r="O226" s="11" t="inlineStr">
        <is>
          <t>https://www.roccpa.org.tw/member_search/more?id=96A72699-413F-4ABD-8F4E-8443EFA3A16F</t>
        </is>
      </c>
    </row>
    <row r="227">
      <c r="A227" s="10" t="n">
        <v>226</v>
      </c>
      <c r="B227" s="11" t="inlineStr">
        <is>
          <t>資誠聯合會計師事務所</t>
        </is>
      </c>
      <c r="C227" s="11" t="inlineStr">
        <is>
          <t>PwC 資誠</t>
        </is>
      </c>
      <c r="D227" s="11" t="inlineStr">
        <is>
          <t>李秀玲</t>
        </is>
      </c>
      <c r="E227" s="10" t="inlineStr">
        <is>
          <t>台北總所</t>
        </is>
      </c>
      <c r="F227" s="12" t="inlineStr">
        <is>
          <t>台北市信義區基隆路一段333號27樓</t>
        </is>
      </c>
      <c r="G227" s="12" t="inlineStr">
        <is>
          <t>台北市信義區基隆路一段333號27樓</t>
        </is>
      </c>
      <c r="H227" s="12" t="inlineStr"/>
      <c r="I227" s="10" t="inlineStr"/>
      <c r="J227" s="11" t="inlineStr"/>
      <c r="K227" s="10" t="inlineStr">
        <is>
          <t>北市</t>
        </is>
      </c>
      <c r="L227" s="10" t="inlineStr">
        <is>
          <t>088/12/08</t>
        </is>
      </c>
      <c r="M227" s="10" t="inlineStr">
        <is>
          <t>2228</t>
        </is>
      </c>
      <c r="N227" s="10" t="inlineStr">
        <is>
          <t>2026-06-05</t>
        </is>
      </c>
      <c r="O227" s="11" t="inlineStr">
        <is>
          <t>https://www.roccpa.org.tw/member_search/more?id=0E0B2E71-6A26-4EEA-9D1F-2CD61AA7ED89</t>
        </is>
      </c>
    </row>
    <row r="228">
      <c r="A228" s="10" t="n">
        <v>227</v>
      </c>
      <c r="B228" s="11" t="inlineStr">
        <is>
          <t>資誠聯合會計師事務所</t>
        </is>
      </c>
      <c r="C228" s="11" t="inlineStr">
        <is>
          <t>PwC 資誠</t>
        </is>
      </c>
      <c r="D228" s="11" t="inlineStr">
        <is>
          <t>林一帆</t>
        </is>
      </c>
      <c r="E228" s="10" t="inlineStr">
        <is>
          <t>台北總所</t>
        </is>
      </c>
      <c r="F228" s="12" t="inlineStr">
        <is>
          <t>台北市信義區基隆路一段333號27樓</t>
        </is>
      </c>
      <c r="G228" s="12" t="inlineStr">
        <is>
          <t>台北市信義區基隆路一段333號27樓</t>
        </is>
      </c>
      <c r="H228" s="12" t="inlineStr"/>
      <c r="I228" s="10" t="inlineStr">
        <is>
          <t>103/02/18</t>
        </is>
      </c>
      <c r="J228" s="11" t="inlineStr">
        <is>
          <t>全聯會一字第1030058</t>
        </is>
      </c>
      <c r="K228" s="10" t="inlineStr">
        <is>
          <t>北市</t>
        </is>
      </c>
      <c r="L228" s="10" t="inlineStr">
        <is>
          <t>103/03/03</t>
        </is>
      </c>
      <c r="M228" s="10" t="inlineStr">
        <is>
          <t>3666</t>
        </is>
      </c>
      <c r="N228" s="10" t="inlineStr">
        <is>
          <t>2026-06-05</t>
        </is>
      </c>
      <c r="O228" s="11" t="inlineStr">
        <is>
          <t>https://www.roccpa.org.tw/member_search/more?id=0808AA7C-0DBE-49F9-8127-063EA682E918</t>
        </is>
      </c>
    </row>
    <row r="229">
      <c r="A229" s="10" t="n">
        <v>228</v>
      </c>
      <c r="B229" s="11" t="inlineStr">
        <is>
          <t>資誠聯合會計師事務所</t>
        </is>
      </c>
      <c r="C229" s="11" t="inlineStr">
        <is>
          <t>PwC 資誠</t>
        </is>
      </c>
      <c r="D229" s="11" t="inlineStr">
        <is>
          <t>林佳鴻</t>
        </is>
      </c>
      <c r="E229" s="10" t="inlineStr">
        <is>
          <t>台北總所</t>
        </is>
      </c>
      <c r="F229" s="12" t="inlineStr">
        <is>
          <t>台北市信義區基隆路一段333號27樓</t>
        </is>
      </c>
      <c r="G229" s="12" t="inlineStr">
        <is>
          <t>台北市信義區基隆路一段333號27樓</t>
        </is>
      </c>
      <c r="H229" s="12" t="inlineStr"/>
      <c r="I229" s="10" t="inlineStr">
        <is>
          <t>108/07/01</t>
        </is>
      </c>
      <c r="J229" s="11" t="inlineStr">
        <is>
          <t>全聯會一字第1080237</t>
        </is>
      </c>
      <c r="K229" s="10" t="inlineStr">
        <is>
          <t>北市</t>
        </is>
      </c>
      <c r="L229" s="10" t="inlineStr">
        <is>
          <t>108/07/01</t>
        </is>
      </c>
      <c r="M229" s="10" t="inlineStr">
        <is>
          <t>4175</t>
        </is>
      </c>
      <c r="N229" s="10" t="inlineStr">
        <is>
          <t>2026-06-05</t>
        </is>
      </c>
      <c r="O229" s="11" t="inlineStr">
        <is>
          <t>https://www.roccpa.org.tw/member_search/more?id=B8017374-D404-476F-A063-EB849A2FAEFA</t>
        </is>
      </c>
    </row>
    <row r="230">
      <c r="A230" s="10" t="n">
        <v>229</v>
      </c>
      <c r="B230" s="11" t="inlineStr">
        <is>
          <t>資誠聯合會計師事務所</t>
        </is>
      </c>
      <c r="C230" s="11" t="inlineStr">
        <is>
          <t>PwC 資誠</t>
        </is>
      </c>
      <c r="D230" s="11" t="inlineStr">
        <is>
          <t>林冠宏</t>
        </is>
      </c>
      <c r="E230" s="10" t="inlineStr">
        <is>
          <t>台北總所</t>
        </is>
      </c>
      <c r="F230" s="12" t="inlineStr">
        <is>
          <t>台北市信義區基隆路一段333號27樓</t>
        </is>
      </c>
      <c r="G230" s="12" t="inlineStr">
        <is>
          <t>台北市信義區基隆路一段333號27樓</t>
        </is>
      </c>
      <c r="H230" s="12" t="inlineStr"/>
      <c r="I230" s="10" t="inlineStr">
        <is>
          <t>111/07/01</t>
        </is>
      </c>
      <c r="J230" s="11" t="inlineStr">
        <is>
          <t>全聯會一字第1110256</t>
        </is>
      </c>
      <c r="K230" s="10" t="inlineStr">
        <is>
          <t>北市</t>
        </is>
      </c>
      <c r="L230" s="10" t="inlineStr">
        <is>
          <t>111/07/01</t>
        </is>
      </c>
      <c r="M230" s="10" t="inlineStr">
        <is>
          <t>4446</t>
        </is>
      </c>
      <c r="N230" s="10" t="inlineStr">
        <is>
          <t>2026-06-05</t>
        </is>
      </c>
      <c r="O230" s="11" t="inlineStr">
        <is>
          <t>https://www.roccpa.org.tw/member_search/more?id=A7966797-EF14-410C-8957-3545736BAAC0</t>
        </is>
      </c>
    </row>
    <row r="231">
      <c r="A231" s="10" t="n">
        <v>230</v>
      </c>
      <c r="B231" s="11" t="inlineStr">
        <is>
          <t>資誠聯合會計師事務所</t>
        </is>
      </c>
      <c r="C231" s="11" t="inlineStr">
        <is>
          <t>PwC 資誠</t>
        </is>
      </c>
      <c r="D231" s="11" t="inlineStr">
        <is>
          <t>林巨峯</t>
        </is>
      </c>
      <c r="E231" s="10" t="inlineStr">
        <is>
          <t>台北總所</t>
        </is>
      </c>
      <c r="F231" s="12" t="inlineStr">
        <is>
          <t>台北市信義區基隆路一段333號27樓</t>
        </is>
      </c>
      <c r="G231" s="12" t="inlineStr">
        <is>
          <t>台北市信義區基隆路一段333號27樓</t>
        </is>
      </c>
      <c r="H231" s="12" t="inlineStr"/>
      <c r="I231" s="10" t="inlineStr">
        <is>
          <t>106/06/01</t>
        </is>
      </c>
      <c r="J231" s="11" t="inlineStr">
        <is>
          <t>全聯會一字第1060208</t>
        </is>
      </c>
      <c r="K231" s="10" t="inlineStr">
        <is>
          <t>北市</t>
        </is>
      </c>
      <c r="L231" s="10" t="inlineStr">
        <is>
          <t>106/06/21</t>
        </is>
      </c>
      <c r="M231" s="10" t="inlineStr">
        <is>
          <t>4023</t>
        </is>
      </c>
      <c r="N231" s="10" t="inlineStr">
        <is>
          <t>2026-06-05</t>
        </is>
      </c>
      <c r="O231" s="11" t="inlineStr">
        <is>
          <t>https://www.roccpa.org.tw/member_search/more?id=EA99C1C5-7715-4168-A109-F6E67DEA91D0</t>
        </is>
      </c>
    </row>
    <row r="232">
      <c r="A232" s="10" t="n">
        <v>231</v>
      </c>
      <c r="B232" s="11" t="inlineStr">
        <is>
          <t>資誠聯合會計師事務所</t>
        </is>
      </c>
      <c r="C232" s="11" t="inlineStr">
        <is>
          <t>PwC 資誠</t>
        </is>
      </c>
      <c r="D232" s="11" t="inlineStr">
        <is>
          <t>林柏全</t>
        </is>
      </c>
      <c r="E232" s="10" t="inlineStr">
        <is>
          <t>台北總所</t>
        </is>
      </c>
      <c r="F232" s="12" t="inlineStr">
        <is>
          <t>台北市信義區基隆路一段333號27樓</t>
        </is>
      </c>
      <c r="G232" s="12" t="inlineStr">
        <is>
          <t>台北市信義區基隆路一段333號27樓</t>
        </is>
      </c>
      <c r="H232" s="12" t="inlineStr"/>
      <c r="I232" s="10" t="inlineStr">
        <is>
          <t>110/06/15</t>
        </is>
      </c>
      <c r="J232" s="11" t="inlineStr">
        <is>
          <t>全聯會一字第110241</t>
        </is>
      </c>
      <c r="K232" s="10" t="inlineStr">
        <is>
          <t>北市</t>
        </is>
      </c>
      <c r="L232" s="10" t="inlineStr">
        <is>
          <t>110/06/15</t>
        </is>
      </c>
      <c r="M232" s="10" t="inlineStr">
        <is>
          <t>4344</t>
        </is>
      </c>
      <c r="N232" s="10" t="inlineStr">
        <is>
          <t>2026-06-05</t>
        </is>
      </c>
      <c r="O232" s="11" t="inlineStr">
        <is>
          <t>https://www.roccpa.org.tw/member_search/more?id=48910A65-A944-442D-B8C1-E5B0961BD25B</t>
        </is>
      </c>
    </row>
    <row r="233">
      <c r="A233" s="10" t="n">
        <v>232</v>
      </c>
      <c r="B233" s="11" t="inlineStr">
        <is>
          <t>資誠聯合會計師事務所</t>
        </is>
      </c>
      <c r="C233" s="11" t="inlineStr">
        <is>
          <t>PwC 資誠</t>
        </is>
      </c>
      <c r="D233" s="11" t="inlineStr">
        <is>
          <t>林永智</t>
        </is>
      </c>
      <c r="E233" s="10" t="inlineStr">
        <is>
          <t>台北總所</t>
        </is>
      </c>
      <c r="F233" s="12" t="inlineStr">
        <is>
          <t>台北市信義區基隆路一段333號27樓</t>
        </is>
      </c>
      <c r="G233" s="12" t="inlineStr">
        <is>
          <t>台北市信義區基隆路一段333號27樓</t>
        </is>
      </c>
      <c r="H233" s="12" t="inlineStr"/>
      <c r="I233" s="10" t="inlineStr">
        <is>
          <t>105/06/22</t>
        </is>
      </c>
      <c r="J233" s="11" t="inlineStr">
        <is>
          <t>全聯會一字第1050275</t>
        </is>
      </c>
      <c r="K233" s="10" t="inlineStr">
        <is>
          <t>北市</t>
        </is>
      </c>
      <c r="L233" s="10" t="inlineStr">
        <is>
          <t>113/10/16</t>
        </is>
      </c>
      <c r="M233" s="10" t="inlineStr">
        <is>
          <t>4671</t>
        </is>
      </c>
      <c r="N233" s="10" t="inlineStr">
        <is>
          <t>2026-06-05</t>
        </is>
      </c>
      <c r="O233" s="11" t="inlineStr">
        <is>
          <t>https://www.roccpa.org.tw/member_search/more?id=94DE7672-E2FE-4CB1-8141-1227BDF01E3C</t>
        </is>
      </c>
    </row>
    <row r="234">
      <c r="A234" s="10" t="n">
        <v>233</v>
      </c>
      <c r="B234" s="11" t="inlineStr">
        <is>
          <t>資誠聯合會計師事務所</t>
        </is>
      </c>
      <c r="C234" s="11" t="inlineStr">
        <is>
          <t>PwC 資誠</t>
        </is>
      </c>
      <c r="D234" s="11" t="inlineStr">
        <is>
          <t>林瑟凱</t>
        </is>
      </c>
      <c r="E234" s="10" t="inlineStr">
        <is>
          <t>台北總所</t>
        </is>
      </c>
      <c r="F234" s="12" t="inlineStr">
        <is>
          <t>台北市信義區基隆路一段333號27樓</t>
        </is>
      </c>
      <c r="G234" s="12" t="inlineStr">
        <is>
          <t>台北市信義區基隆路一段333號27樓</t>
        </is>
      </c>
      <c r="H234" s="12" t="inlineStr"/>
      <c r="I234" s="10" t="inlineStr"/>
      <c r="J234" s="11" t="inlineStr"/>
      <c r="K234" s="10" t="inlineStr">
        <is>
          <t>北市</t>
        </is>
      </c>
      <c r="L234" s="10" t="inlineStr">
        <is>
          <t>096/10/15</t>
        </is>
      </c>
      <c r="M234" s="10" t="inlineStr">
        <is>
          <t>2967</t>
        </is>
      </c>
      <c r="N234" s="10" t="inlineStr">
        <is>
          <t>2026-06-05</t>
        </is>
      </c>
      <c r="O234" s="11" t="inlineStr">
        <is>
          <t>https://www.roccpa.org.tw/member_search/more?id=6FDEA493-9822-460A-90FB-48293036F646</t>
        </is>
      </c>
    </row>
    <row r="235">
      <c r="A235" s="10" t="n">
        <v>234</v>
      </c>
      <c r="B235" s="11" t="inlineStr">
        <is>
          <t>資誠聯合會計師事務所</t>
        </is>
      </c>
      <c r="C235" s="11" t="inlineStr">
        <is>
          <t>PwC 資誠</t>
        </is>
      </c>
      <c r="D235" s="11" t="inlineStr">
        <is>
          <t>林瑩甄</t>
        </is>
      </c>
      <c r="E235" s="10" t="inlineStr">
        <is>
          <t>台北總所</t>
        </is>
      </c>
      <c r="F235" s="12" t="inlineStr">
        <is>
          <t>台北市信義區基隆路一段333號27樓</t>
        </is>
      </c>
      <c r="G235" s="12" t="inlineStr">
        <is>
          <t>台北市信義區基隆路一段333號27樓</t>
        </is>
      </c>
      <c r="H235" s="12" t="inlineStr"/>
      <c r="I235" s="10" t="inlineStr">
        <is>
          <t>112/06/15</t>
        </is>
      </c>
      <c r="J235" s="11" t="inlineStr">
        <is>
          <t>全聯會一字第1120240</t>
        </is>
      </c>
      <c r="K235" s="10" t="inlineStr">
        <is>
          <t>北市</t>
        </is>
      </c>
      <c r="L235" s="10" t="inlineStr">
        <is>
          <t>112/06/15</t>
        </is>
      </c>
      <c r="M235" s="10" t="inlineStr">
        <is>
          <t>4543</t>
        </is>
      </c>
      <c r="N235" s="10" t="inlineStr">
        <is>
          <t>2026-06-05</t>
        </is>
      </c>
      <c r="O235" s="11" t="inlineStr">
        <is>
          <t>https://www.roccpa.org.tw/member_search/more?id=B2AD46C6-81E3-4091-94AF-D3D593DBA59C</t>
        </is>
      </c>
    </row>
    <row r="236">
      <c r="A236" s="10" t="n">
        <v>235</v>
      </c>
      <c r="B236" s="11" t="inlineStr">
        <is>
          <t>資誠聯合會計師事務所</t>
        </is>
      </c>
      <c r="C236" s="11" t="inlineStr">
        <is>
          <t>PwC 資誠</t>
        </is>
      </c>
      <c r="D236" s="11" t="inlineStr">
        <is>
          <t>林維琪</t>
        </is>
      </c>
      <c r="E236" s="10" t="inlineStr">
        <is>
          <t>台北總所</t>
        </is>
      </c>
      <c r="F236" s="12" t="inlineStr">
        <is>
          <t>台北市信義區基隆路一段333號27樓</t>
        </is>
      </c>
      <c r="G236" s="12" t="inlineStr">
        <is>
          <t>台北市信義區基隆路一段333號27樓</t>
        </is>
      </c>
      <c r="H236" s="12" t="inlineStr"/>
      <c r="I236" s="10" t="inlineStr">
        <is>
          <t>106/06/01</t>
        </is>
      </c>
      <c r="J236" s="11" t="inlineStr">
        <is>
          <t>全聯會一字第1060204</t>
        </is>
      </c>
      <c r="K236" s="10" t="inlineStr">
        <is>
          <t>北市</t>
        </is>
      </c>
      <c r="L236" s="10" t="inlineStr">
        <is>
          <t>106/06/12</t>
        </is>
      </c>
      <c r="M236" s="10" t="inlineStr">
        <is>
          <t>4016</t>
        </is>
      </c>
      <c r="N236" s="10" t="inlineStr">
        <is>
          <t>2026-06-05</t>
        </is>
      </c>
      <c r="O236" s="11" t="inlineStr">
        <is>
          <t>https://www.roccpa.org.tw/member_search/more?id=EB22986B-38AE-40E4-879D-8A51FE4DC441</t>
        </is>
      </c>
    </row>
    <row r="237">
      <c r="A237" s="10" t="n">
        <v>236</v>
      </c>
      <c r="B237" s="11" t="inlineStr">
        <is>
          <t>資誠聯合會計師事務所</t>
        </is>
      </c>
      <c r="C237" s="11" t="inlineStr">
        <is>
          <t>PwC 資誠</t>
        </is>
      </c>
      <c r="D237" s="11" t="inlineStr">
        <is>
          <t>林雅慧</t>
        </is>
      </c>
      <c r="E237" s="10" t="inlineStr">
        <is>
          <t>台北總所</t>
        </is>
      </c>
      <c r="F237" s="12" t="inlineStr">
        <is>
          <t>台北市信義區基隆路一段333號27樓</t>
        </is>
      </c>
      <c r="G237" s="12" t="inlineStr">
        <is>
          <t>台北市信義區基隆路一段333號27樓</t>
        </is>
      </c>
      <c r="H237" s="12" t="inlineStr"/>
      <c r="I237" s="10" t="inlineStr">
        <is>
          <t>107/06/01</t>
        </is>
      </c>
      <c r="J237" s="11" t="inlineStr">
        <is>
          <t>全聯會一字第1070225</t>
        </is>
      </c>
      <c r="K237" s="10" t="inlineStr">
        <is>
          <t>北市</t>
        </is>
      </c>
      <c r="L237" s="10" t="inlineStr">
        <is>
          <t>107/06/01</t>
        </is>
      </c>
      <c r="M237" s="10" t="inlineStr">
        <is>
          <t>4096</t>
        </is>
      </c>
      <c r="N237" s="10" t="inlineStr">
        <is>
          <t>2026-06-05</t>
        </is>
      </c>
      <c r="O237" s="11" t="inlineStr">
        <is>
          <t>https://www.roccpa.org.tw/member_search/more?id=D80740F2-0F93-4413-833E-DA1326995BD1</t>
        </is>
      </c>
    </row>
    <row r="238">
      <c r="A238" s="10" t="n">
        <v>237</v>
      </c>
      <c r="B238" s="11" t="inlineStr">
        <is>
          <t>資誠聯合會計師事務所</t>
        </is>
      </c>
      <c r="C238" s="11" t="inlineStr">
        <is>
          <t>PwC 資誠</t>
        </is>
      </c>
      <c r="D238" s="11" t="inlineStr">
        <is>
          <t>林雯瑜</t>
        </is>
      </c>
      <c r="E238" s="10" t="inlineStr">
        <is>
          <t>台北總所</t>
        </is>
      </c>
      <c r="F238" s="12" t="inlineStr">
        <is>
          <t>台北市信義區基隆路一段333號27樓</t>
        </is>
      </c>
      <c r="G238" s="12" t="inlineStr">
        <is>
          <t>台北市信義區基隆路一段333號27樓</t>
        </is>
      </c>
      <c r="H238" s="12" t="inlineStr"/>
      <c r="I238" s="10" t="inlineStr">
        <is>
          <t>112/06/15</t>
        </is>
      </c>
      <c r="J238" s="11" t="inlineStr">
        <is>
          <t>全聯會一字第1120237</t>
        </is>
      </c>
      <c r="K238" s="10" t="inlineStr">
        <is>
          <t>北市</t>
        </is>
      </c>
      <c r="L238" s="10" t="inlineStr">
        <is>
          <t>112/06/15</t>
        </is>
      </c>
      <c r="M238" s="10" t="inlineStr">
        <is>
          <t>4540</t>
        </is>
      </c>
      <c r="N238" s="10" t="inlineStr">
        <is>
          <t>2026-06-05</t>
        </is>
      </c>
      <c r="O238" s="11" t="inlineStr">
        <is>
          <t>https://www.roccpa.org.tw/member_search/more?id=C3F253DD-6A13-43B4-82EF-2A73AF02292B</t>
        </is>
      </c>
    </row>
    <row r="239">
      <c r="A239" s="10" t="n">
        <v>238</v>
      </c>
      <c r="B239" s="11" t="inlineStr">
        <is>
          <t>資誠聯合會計師事務所</t>
        </is>
      </c>
      <c r="C239" s="11" t="inlineStr">
        <is>
          <t>PwC 資誠</t>
        </is>
      </c>
      <c r="D239" s="11" t="inlineStr">
        <is>
          <t>梁嬋女</t>
        </is>
      </c>
      <c r="E239" s="10" t="inlineStr">
        <is>
          <t>台北總所</t>
        </is>
      </c>
      <c r="F239" s="12" t="inlineStr">
        <is>
          <t>台北市信義區基隆路一段333號27樓</t>
        </is>
      </c>
      <c r="G239" s="12" t="inlineStr">
        <is>
          <t>台北市信義區基隆路一段333號27樓</t>
        </is>
      </c>
      <c r="H239" s="12" t="inlineStr"/>
      <c r="I239" s="10" t="inlineStr"/>
      <c r="J239" s="11" t="inlineStr"/>
      <c r="K239" s="10" t="inlineStr">
        <is>
          <t>北市</t>
        </is>
      </c>
      <c r="L239" s="10" t="inlineStr">
        <is>
          <t>096/05/23</t>
        </is>
      </c>
      <c r="M239" s="10" t="inlineStr">
        <is>
          <t>2943</t>
        </is>
      </c>
      <c r="N239" s="10" t="inlineStr">
        <is>
          <t>2026-06-05</t>
        </is>
      </c>
      <c r="O239" s="11" t="inlineStr">
        <is>
          <t>https://www.roccpa.org.tw/member_search/more?id=098CB1EE-905F-4570-BC12-0D86B27E8712</t>
        </is>
      </c>
    </row>
    <row r="240">
      <c r="A240" s="10" t="n">
        <v>239</v>
      </c>
      <c r="B240" s="11" t="inlineStr">
        <is>
          <t>資誠聯合會計師事務所</t>
        </is>
      </c>
      <c r="C240" s="11" t="inlineStr">
        <is>
          <t>PwC 資誠</t>
        </is>
      </c>
      <c r="D240" s="11" t="inlineStr">
        <is>
          <t>梁益彰</t>
        </is>
      </c>
      <c r="E240" s="10" t="inlineStr">
        <is>
          <t>台北總所</t>
        </is>
      </c>
      <c r="F240" s="12" t="inlineStr">
        <is>
          <t>台北市信義區基隆路一段333號27樓</t>
        </is>
      </c>
      <c r="G240" s="12" t="inlineStr">
        <is>
          <t>台北市信義區基隆路一段333號27樓</t>
        </is>
      </c>
      <c r="H240" s="12" t="inlineStr"/>
      <c r="I240" s="10" t="inlineStr"/>
      <c r="J240" s="11" t="inlineStr"/>
      <c r="K240" s="10" t="inlineStr">
        <is>
          <t>北市</t>
        </is>
      </c>
      <c r="L240" s="10" t="inlineStr">
        <is>
          <t>091/11/27</t>
        </is>
      </c>
      <c r="M240" s="10" t="inlineStr">
        <is>
          <t>2507</t>
        </is>
      </c>
      <c r="N240" s="10" t="inlineStr">
        <is>
          <t>2026-06-05</t>
        </is>
      </c>
      <c r="O240" s="11" t="inlineStr">
        <is>
          <t>https://www.roccpa.org.tw/member_search/more?id=D95D5EBD-792D-43EC-BB57-AF134BC5E362</t>
        </is>
      </c>
    </row>
    <row r="241">
      <c r="A241" s="10" t="n">
        <v>240</v>
      </c>
      <c r="B241" s="11" t="inlineStr">
        <is>
          <t>資誠聯合會計師事務所</t>
        </is>
      </c>
      <c r="C241" s="11" t="inlineStr">
        <is>
          <t>PwC 資誠</t>
        </is>
      </c>
      <c r="D241" s="11" t="inlineStr">
        <is>
          <t>梁華玲</t>
        </is>
      </c>
      <c r="E241" s="10" t="inlineStr">
        <is>
          <t>台北總所</t>
        </is>
      </c>
      <c r="F241" s="12" t="inlineStr">
        <is>
          <t>台北市信義區基隆路一段333號27樓</t>
        </is>
      </c>
      <c r="G241" s="12" t="inlineStr">
        <is>
          <t>台北市信義區基隆路一段333號27樓</t>
        </is>
      </c>
      <c r="H241" s="12" t="inlineStr"/>
      <c r="I241" s="10" t="inlineStr"/>
      <c r="J241" s="11" t="inlineStr"/>
      <c r="K241" s="10" t="inlineStr">
        <is>
          <t>北市</t>
        </is>
      </c>
      <c r="L241" s="10" t="inlineStr">
        <is>
          <t>086/08/28</t>
        </is>
      </c>
      <c r="M241" s="10" t="inlineStr">
        <is>
          <t>1940</t>
        </is>
      </c>
      <c r="N241" s="10" t="inlineStr">
        <is>
          <t>2026-06-05</t>
        </is>
      </c>
      <c r="O241" s="11" t="inlineStr">
        <is>
          <t>https://www.roccpa.org.tw/member_search/more?id=545CC8E3-B370-4EBF-9250-0CDB707B5868</t>
        </is>
      </c>
    </row>
    <row r="242">
      <c r="A242" s="10" t="n">
        <v>241</v>
      </c>
      <c r="B242" s="11" t="inlineStr">
        <is>
          <t>資誠聯合會計師事務所</t>
        </is>
      </c>
      <c r="C242" s="11" t="inlineStr">
        <is>
          <t>PwC 資誠</t>
        </is>
      </c>
      <c r="D242" s="11" t="inlineStr">
        <is>
          <t>楊蕙慈</t>
        </is>
      </c>
      <c r="E242" s="10" t="inlineStr">
        <is>
          <t>台北總所</t>
        </is>
      </c>
      <c r="F242" s="12" t="inlineStr">
        <is>
          <t>台北市信義區基隆路一段333號27樓</t>
        </is>
      </c>
      <c r="G242" s="12" t="inlineStr">
        <is>
          <t>台北市信義區基隆路一段333號27樓</t>
        </is>
      </c>
      <c r="H242" s="12" t="inlineStr"/>
      <c r="I242" s="10" t="inlineStr">
        <is>
          <t>113/07/01</t>
        </is>
      </c>
      <c r="J242" s="11" t="inlineStr">
        <is>
          <t>全聯會一字第1130000303號</t>
        </is>
      </c>
      <c r="K242" s="10" t="inlineStr">
        <is>
          <t>北市</t>
        </is>
      </c>
      <c r="L242" s="10" t="inlineStr">
        <is>
          <t>113/07/01</t>
        </is>
      </c>
      <c r="M242" s="10" t="inlineStr">
        <is>
          <t>4646</t>
        </is>
      </c>
      <c r="N242" s="10" t="inlineStr">
        <is>
          <t>2026-06-05</t>
        </is>
      </c>
      <c r="O242" s="11" t="inlineStr">
        <is>
          <t>https://www.roccpa.org.tw/member_search/more?id=9DB93F0C-A4CC-42B0-8778-8B4020758322</t>
        </is>
      </c>
    </row>
    <row r="243">
      <c r="A243" s="10" t="n">
        <v>242</v>
      </c>
      <c r="B243" s="11" t="inlineStr">
        <is>
          <t>資誠聯合會計師事務所</t>
        </is>
      </c>
      <c r="C243" s="11" t="inlineStr">
        <is>
          <t>PwC 資誠</t>
        </is>
      </c>
      <c r="D243" s="11" t="inlineStr">
        <is>
          <t>歐陽泓</t>
        </is>
      </c>
      <c r="E243" s="10" t="inlineStr">
        <is>
          <t>台北總所</t>
        </is>
      </c>
      <c r="F243" s="12" t="inlineStr">
        <is>
          <t>台北市信義區基隆路一段333號27樓</t>
        </is>
      </c>
      <c r="G243" s="12" t="inlineStr">
        <is>
          <t>台北市信義區基隆路一段333號27樓</t>
        </is>
      </c>
      <c r="H243" s="12" t="inlineStr"/>
      <c r="I243" s="10" t="inlineStr">
        <is>
          <t>113/07/01</t>
        </is>
      </c>
      <c r="J243" s="11" t="inlineStr">
        <is>
          <t>全聯會一字第1130000305號</t>
        </is>
      </c>
      <c r="K243" s="10" t="inlineStr">
        <is>
          <t>北市</t>
        </is>
      </c>
      <c r="L243" s="10" t="inlineStr">
        <is>
          <t>113/07/01</t>
        </is>
      </c>
      <c r="M243" s="10" t="inlineStr">
        <is>
          <t>4648</t>
        </is>
      </c>
      <c r="N243" s="10" t="inlineStr">
        <is>
          <t>2026-06-05</t>
        </is>
      </c>
      <c r="O243" s="11" t="inlineStr">
        <is>
          <t>https://www.roccpa.org.tw/member_search/more?id=7707937B-8423-47D0-8401-7BBB9B9844EE</t>
        </is>
      </c>
    </row>
    <row r="244">
      <c r="A244" s="10" t="n">
        <v>243</v>
      </c>
      <c r="B244" s="11" t="inlineStr">
        <is>
          <t>資誠聯合會計師事務所</t>
        </is>
      </c>
      <c r="C244" s="11" t="inlineStr">
        <is>
          <t>PwC 資誠</t>
        </is>
      </c>
      <c r="D244" s="11" t="inlineStr">
        <is>
          <t>段士良</t>
        </is>
      </c>
      <c r="E244" s="10" t="inlineStr">
        <is>
          <t>台北總所</t>
        </is>
      </c>
      <c r="F244" s="12" t="inlineStr">
        <is>
          <t>台北市信義區基隆路一段333號27樓</t>
        </is>
      </c>
      <c r="G244" s="12" t="inlineStr">
        <is>
          <t>台北市信義區基隆路一段333號27樓</t>
        </is>
      </c>
      <c r="H244" s="12" t="inlineStr"/>
      <c r="I244" s="10" t="inlineStr">
        <is>
          <t>101/07/09</t>
        </is>
      </c>
      <c r="J244" s="11" t="inlineStr">
        <is>
          <t>全聯會一字第1010214</t>
        </is>
      </c>
      <c r="K244" s="10" t="inlineStr">
        <is>
          <t>北市</t>
        </is>
      </c>
      <c r="L244" s="10" t="inlineStr">
        <is>
          <t>101/07/10</t>
        </is>
      </c>
      <c r="M244" s="10" t="inlineStr">
        <is>
          <t>3478</t>
        </is>
      </c>
      <c r="N244" s="10" t="inlineStr">
        <is>
          <t>2026-06-05</t>
        </is>
      </c>
      <c r="O244" s="11" t="inlineStr">
        <is>
          <t>https://www.roccpa.org.tw/member_search/more?id=FC4D3003-09BB-4B26-870B-FAD823599A1D</t>
        </is>
      </c>
    </row>
    <row r="245">
      <c r="A245" s="10" t="n">
        <v>244</v>
      </c>
      <c r="B245" s="11" t="inlineStr">
        <is>
          <t>資誠聯合會計師事務所</t>
        </is>
      </c>
      <c r="C245" s="11" t="inlineStr">
        <is>
          <t>PwC 資誠</t>
        </is>
      </c>
      <c r="D245" s="11" t="inlineStr">
        <is>
          <t>江怡馨</t>
        </is>
      </c>
      <c r="E245" s="10" t="inlineStr">
        <is>
          <t>台北總所</t>
        </is>
      </c>
      <c r="F245" s="12" t="inlineStr">
        <is>
          <t>台北市信義區基隆路一段333號27樓</t>
        </is>
      </c>
      <c r="G245" s="12" t="inlineStr">
        <is>
          <t>台北市信義區基隆路一段333號27樓</t>
        </is>
      </c>
      <c r="H245" s="12" t="inlineStr"/>
      <c r="I245" s="10" t="inlineStr">
        <is>
          <t>115/07/01</t>
        </is>
      </c>
      <c r="J245" s="11" t="inlineStr">
        <is>
          <t>全聯會一字第1150000323號</t>
        </is>
      </c>
      <c r="K245" s="10" t="inlineStr">
        <is>
          <t>北市</t>
        </is>
      </c>
      <c r="L245" s="10" t="inlineStr">
        <is>
          <t>115/07/01</t>
        </is>
      </c>
      <c r="M245" s="10" t="inlineStr">
        <is>
          <t>4911</t>
        </is>
      </c>
      <c r="N245" s="10" t="inlineStr">
        <is>
          <t>2026-07-06</t>
        </is>
      </c>
      <c r="O245" s="11" t="inlineStr">
        <is>
          <t>https://www.roccpa.org.tw/member_search/more?id=52403feb0c5f4851bc8ff3ed43ecebeb</t>
        </is>
      </c>
    </row>
    <row r="246">
      <c r="A246" s="10" t="n">
        <v>245</v>
      </c>
      <c r="B246" s="11" t="inlineStr">
        <is>
          <t>資誠聯合會計師事務所</t>
        </is>
      </c>
      <c r="C246" s="11" t="inlineStr">
        <is>
          <t>PwC 資誠</t>
        </is>
      </c>
      <c r="D246" s="11" t="inlineStr">
        <is>
          <t>洪連盛</t>
        </is>
      </c>
      <c r="E246" s="10" t="inlineStr">
        <is>
          <t>台北總所</t>
        </is>
      </c>
      <c r="F246" s="12" t="inlineStr">
        <is>
          <t>台北市信義區基隆路一段333號27樓</t>
        </is>
      </c>
      <c r="G246" s="12" t="inlineStr">
        <is>
          <t>台北市信義區基隆路一段333號27樓</t>
        </is>
      </c>
      <c r="H246" s="12" t="inlineStr"/>
      <c r="I246" s="10" t="inlineStr">
        <is>
          <t>103/06/11</t>
        </is>
      </c>
      <c r="J246" s="11" t="inlineStr">
        <is>
          <t>全聯會一字第1030224</t>
        </is>
      </c>
      <c r="K246" s="10" t="inlineStr">
        <is>
          <t>北市</t>
        </is>
      </c>
      <c r="L246" s="10" t="inlineStr">
        <is>
          <t>103/07/01</t>
        </is>
      </c>
      <c r="M246" s="10" t="inlineStr">
        <is>
          <t>3713</t>
        </is>
      </c>
      <c r="N246" s="10" t="inlineStr">
        <is>
          <t>2026-06-05</t>
        </is>
      </c>
      <c r="O246" s="11" t="inlineStr">
        <is>
          <t>https://www.roccpa.org.tw/member_search/more?id=B918AF53-0BE5-4A0E-BF9D-74ADA285D2A8</t>
        </is>
      </c>
    </row>
    <row r="247">
      <c r="A247" s="10" t="n">
        <v>246</v>
      </c>
      <c r="B247" s="11" t="inlineStr">
        <is>
          <t>資誠聯合會計師事務所</t>
        </is>
      </c>
      <c r="C247" s="11" t="inlineStr">
        <is>
          <t>PwC 資誠</t>
        </is>
      </c>
      <c r="D247" s="11" t="inlineStr">
        <is>
          <t>洪麗雀</t>
        </is>
      </c>
      <c r="E247" s="10" t="inlineStr">
        <is>
          <t>台北總所</t>
        </is>
      </c>
      <c r="F247" s="12" t="inlineStr">
        <is>
          <t>台北市信義區基隆路一段333號27樓</t>
        </is>
      </c>
      <c r="G247" s="12" t="inlineStr">
        <is>
          <t>台北市信義區基隆路一段333號27樓</t>
        </is>
      </c>
      <c r="H247" s="12" t="inlineStr"/>
      <c r="I247" s="10" t="inlineStr">
        <is>
          <t>112/06/15</t>
        </is>
      </c>
      <c r="J247" s="11" t="inlineStr">
        <is>
          <t>全聯會一字第1120233</t>
        </is>
      </c>
      <c r="K247" s="10" t="inlineStr">
        <is>
          <t>北市</t>
        </is>
      </c>
      <c r="L247" s="10" t="inlineStr">
        <is>
          <t>112/06/15</t>
        </is>
      </c>
      <c r="M247" s="10" t="inlineStr">
        <is>
          <t>4536</t>
        </is>
      </c>
      <c r="N247" s="10" t="inlineStr">
        <is>
          <t>2026-06-05</t>
        </is>
      </c>
      <c r="O247" s="11" t="inlineStr">
        <is>
          <t>https://www.roccpa.org.tw/member_search/more?id=63940C32-66F0-4772-88F4-F3FC574872A5</t>
        </is>
      </c>
    </row>
    <row r="248">
      <c r="A248" s="10" t="n">
        <v>247</v>
      </c>
      <c r="B248" s="11" t="inlineStr">
        <is>
          <t>資誠聯合會計師事務所</t>
        </is>
      </c>
      <c r="C248" s="11" t="inlineStr">
        <is>
          <t>PwC 資誠</t>
        </is>
      </c>
      <c r="D248" s="11" t="inlineStr">
        <is>
          <t>涂展源</t>
        </is>
      </c>
      <c r="E248" s="10" t="inlineStr">
        <is>
          <t>台北總所</t>
        </is>
      </c>
      <c r="F248" s="12" t="inlineStr">
        <is>
          <t>台北市信義區基隆路一段333號27樓</t>
        </is>
      </c>
      <c r="G248" s="12" t="inlineStr">
        <is>
          <t>台北市信義區基隆路一段333號27樓</t>
        </is>
      </c>
      <c r="H248" s="12" t="inlineStr"/>
      <c r="I248" s="10" t="inlineStr">
        <is>
          <t>112/06/15</t>
        </is>
      </c>
      <c r="J248" s="11" t="inlineStr">
        <is>
          <t>全聯會一字第1120235</t>
        </is>
      </c>
      <c r="K248" s="10" t="inlineStr">
        <is>
          <t>北市</t>
        </is>
      </c>
      <c r="L248" s="10" t="inlineStr">
        <is>
          <t>112/06/15</t>
        </is>
      </c>
      <c r="M248" s="10" t="inlineStr">
        <is>
          <t>4538</t>
        </is>
      </c>
      <c r="N248" s="10" t="inlineStr">
        <is>
          <t>2026-06-05</t>
        </is>
      </c>
      <c r="O248" s="11" t="inlineStr">
        <is>
          <t>https://www.roccpa.org.tw/member_search/more?id=62A2FB57-959B-4B15-A720-72D24C95E4D4</t>
        </is>
      </c>
    </row>
    <row r="249">
      <c r="A249" s="10" t="n">
        <v>248</v>
      </c>
      <c r="B249" s="11" t="inlineStr">
        <is>
          <t>資誠聯合會計師事務所</t>
        </is>
      </c>
      <c r="C249" s="11" t="inlineStr">
        <is>
          <t>PwC 資誠</t>
        </is>
      </c>
      <c r="D249" s="11" t="inlineStr">
        <is>
          <t>潘慧玲</t>
        </is>
      </c>
      <c r="E249" s="10" t="inlineStr">
        <is>
          <t>台北總所</t>
        </is>
      </c>
      <c r="F249" s="12" t="inlineStr">
        <is>
          <t>台北市信義區基隆路一段333號27樓</t>
        </is>
      </c>
      <c r="G249" s="12" t="inlineStr">
        <is>
          <t>台北市信義區基隆路一段333號27樓</t>
        </is>
      </c>
      <c r="H249" s="12" t="inlineStr"/>
      <c r="I249" s="10" t="inlineStr"/>
      <c r="J249" s="11" t="inlineStr"/>
      <c r="K249" s="10" t="inlineStr">
        <is>
          <t>北市</t>
        </is>
      </c>
      <c r="L249" s="10" t="inlineStr">
        <is>
          <t>088/07/19</t>
        </is>
      </c>
      <c r="M249" s="10" t="inlineStr">
        <is>
          <t>2165</t>
        </is>
      </c>
      <c r="N249" s="10" t="inlineStr">
        <is>
          <t>2026-06-05</t>
        </is>
      </c>
      <c r="O249" s="11" t="inlineStr">
        <is>
          <t>https://www.roccpa.org.tw/member_search/more?id=66B6420C-2661-4196-83AB-F105073EF05B</t>
        </is>
      </c>
    </row>
    <row r="250">
      <c r="A250" s="10" t="n">
        <v>249</v>
      </c>
      <c r="B250" s="11" t="inlineStr">
        <is>
          <t>資誠聯合會計師事務所</t>
        </is>
      </c>
      <c r="C250" s="11" t="inlineStr">
        <is>
          <t>PwC 資誠</t>
        </is>
      </c>
      <c r="D250" s="11" t="inlineStr">
        <is>
          <t>王國華</t>
        </is>
      </c>
      <c r="E250" s="10" t="inlineStr">
        <is>
          <t>台北總所</t>
        </is>
      </c>
      <c r="F250" s="12" t="inlineStr">
        <is>
          <t>台北市信義區基隆路一段333號27樓</t>
        </is>
      </c>
      <c r="G250" s="12" t="inlineStr">
        <is>
          <t>台北市信義區基隆路一段333號27樓</t>
        </is>
      </c>
      <c r="H250" s="12" t="inlineStr"/>
      <c r="I250" s="10" t="inlineStr"/>
      <c r="J250" s="11" t="inlineStr"/>
      <c r="K250" s="10" t="inlineStr">
        <is>
          <t>高市</t>
        </is>
      </c>
      <c r="L250" s="10" t="inlineStr">
        <is>
          <t>087/06/29</t>
        </is>
      </c>
      <c r="M250" s="10" t="inlineStr">
        <is>
          <t>400</t>
        </is>
      </c>
      <c r="N250" s="10" t="inlineStr">
        <is>
          <t>2026-06-05</t>
        </is>
      </c>
      <c r="O250" s="11" t="inlineStr">
        <is>
          <t>https://www.roccpa.org.tw/member_search/more?id=82131B07-EF6A-4011-80F1-81AF9880BB23</t>
        </is>
      </c>
    </row>
    <row r="251">
      <c r="A251" s="10" t="n">
        <v>250</v>
      </c>
      <c r="B251" s="11" t="inlineStr">
        <is>
          <t>資誠聯合會計師事務所</t>
        </is>
      </c>
      <c r="C251" s="11" t="inlineStr">
        <is>
          <t>PwC 資誠</t>
        </is>
      </c>
      <c r="D251" s="11" t="inlineStr">
        <is>
          <t>王方瑜</t>
        </is>
      </c>
      <c r="E251" s="10" t="inlineStr">
        <is>
          <t>台北總所</t>
        </is>
      </c>
      <c r="F251" s="12" t="inlineStr">
        <is>
          <t>台北市信義區基隆路一段333號27樓</t>
        </is>
      </c>
      <c r="G251" s="12" t="inlineStr">
        <is>
          <t>台北市信義區基隆路一段333號27樓</t>
        </is>
      </c>
      <c r="H251" s="12" t="inlineStr"/>
      <c r="I251" s="10" t="inlineStr">
        <is>
          <t>103/06/11</t>
        </is>
      </c>
      <c r="J251" s="11" t="inlineStr">
        <is>
          <t>全聯會一字第1030225</t>
        </is>
      </c>
      <c r="K251" s="10" t="inlineStr">
        <is>
          <t>北市</t>
        </is>
      </c>
      <c r="L251" s="10" t="inlineStr">
        <is>
          <t>103/07/01</t>
        </is>
      </c>
      <c r="M251" s="10" t="inlineStr">
        <is>
          <t>3712</t>
        </is>
      </c>
      <c r="N251" s="10" t="inlineStr">
        <is>
          <t>2026-06-05</t>
        </is>
      </c>
      <c r="O251" s="11" t="inlineStr">
        <is>
          <t>https://www.roccpa.org.tw/member_search/more?id=0A548F5A-49CC-46B9-A40D-6731879D98A4</t>
        </is>
      </c>
    </row>
    <row r="252">
      <c r="A252" s="10" t="n">
        <v>251</v>
      </c>
      <c r="B252" s="11" t="inlineStr">
        <is>
          <t>資誠聯合會計師事務所</t>
        </is>
      </c>
      <c r="C252" s="11" t="inlineStr">
        <is>
          <t>PwC 資誠</t>
        </is>
      </c>
      <c r="D252" s="11" t="inlineStr">
        <is>
          <t>王昱欣</t>
        </is>
      </c>
      <c r="E252" s="10" t="inlineStr">
        <is>
          <t>台北總所</t>
        </is>
      </c>
      <c r="F252" s="12" t="inlineStr">
        <is>
          <t>台北市信義區基隆路一段333號27樓</t>
        </is>
      </c>
      <c r="G252" s="12" t="inlineStr">
        <is>
          <t>台北市信義區基隆路一段333號27樓</t>
        </is>
      </c>
      <c r="H252" s="12" t="inlineStr"/>
      <c r="I252" s="10" t="inlineStr">
        <is>
          <t>113/07/01</t>
        </is>
      </c>
      <c r="J252" s="11" t="inlineStr">
        <is>
          <t>全聯會一字第1130000309號</t>
        </is>
      </c>
      <c r="K252" s="10" t="inlineStr">
        <is>
          <t>北市</t>
        </is>
      </c>
      <c r="L252" s="10" t="inlineStr">
        <is>
          <t>113/07/01</t>
        </is>
      </c>
      <c r="M252" s="10" t="inlineStr">
        <is>
          <t>4652</t>
        </is>
      </c>
      <c r="N252" s="10" t="inlineStr">
        <is>
          <t>2026-06-05</t>
        </is>
      </c>
      <c r="O252" s="11" t="inlineStr">
        <is>
          <t>https://www.roccpa.org.tw/member_search/more?id=B5284EFE-A3CE-4ABD-9ED6-7E6791B4DA6A</t>
        </is>
      </c>
    </row>
    <row r="253">
      <c r="A253" s="10" t="n">
        <v>252</v>
      </c>
      <c r="B253" s="11" t="inlineStr">
        <is>
          <t>資誠聯合會計師事務所</t>
        </is>
      </c>
      <c r="C253" s="11" t="inlineStr">
        <is>
          <t>PwC 資誠</t>
        </is>
      </c>
      <c r="D253" s="11" t="inlineStr">
        <is>
          <t>王菘澤</t>
        </is>
      </c>
      <c r="E253" s="10" t="inlineStr">
        <is>
          <t>台北總所</t>
        </is>
      </c>
      <c r="F253" s="12" t="inlineStr">
        <is>
          <t>台北市信義區基隆路一段333號27樓</t>
        </is>
      </c>
      <c r="G253" s="12" t="inlineStr">
        <is>
          <t>台北市信義區基隆路一段333號27樓</t>
        </is>
      </c>
      <c r="H253" s="12" t="inlineStr"/>
      <c r="I253" s="10" t="inlineStr">
        <is>
          <t>111/07/01</t>
        </is>
      </c>
      <c r="J253" s="11" t="inlineStr">
        <is>
          <t>全聯會一字第1110254</t>
        </is>
      </c>
      <c r="K253" s="10" t="inlineStr">
        <is>
          <t>北市</t>
        </is>
      </c>
      <c r="L253" s="10" t="inlineStr">
        <is>
          <t>111/07/01</t>
        </is>
      </c>
      <c r="M253" s="10" t="inlineStr">
        <is>
          <t>4444</t>
        </is>
      </c>
      <c r="N253" s="10" t="inlineStr">
        <is>
          <t>2026-06-05</t>
        </is>
      </c>
      <c r="O253" s="11" t="inlineStr">
        <is>
          <t>https://www.roccpa.org.tw/member_search/more?id=70CB3729-7C47-442D-8846-1AD7DC1D76A1</t>
        </is>
      </c>
    </row>
    <row r="254">
      <c r="A254" s="10" t="n">
        <v>253</v>
      </c>
      <c r="B254" s="11" t="inlineStr">
        <is>
          <t>資誠聯合會計師事務所</t>
        </is>
      </c>
      <c r="C254" s="11" t="inlineStr">
        <is>
          <t>PwC 資誠</t>
        </is>
      </c>
      <c r="D254" s="11" t="inlineStr">
        <is>
          <t>王銘義</t>
        </is>
      </c>
      <c r="E254" s="10" t="inlineStr">
        <is>
          <t>台北總所</t>
        </is>
      </c>
      <c r="F254" s="12" t="inlineStr">
        <is>
          <t>台北市信義區基隆路一段333號27樓</t>
        </is>
      </c>
      <c r="G254" s="12" t="inlineStr">
        <is>
          <t>台北市信義區基隆路一段333號27樓</t>
        </is>
      </c>
      <c r="H254" s="12" t="inlineStr"/>
      <c r="I254" s="10" t="inlineStr">
        <is>
          <t>114/07/01</t>
        </is>
      </c>
      <c r="J254" s="11" t="inlineStr">
        <is>
          <t>全聯會一字第1140000269號</t>
        </is>
      </c>
      <c r="K254" s="10" t="inlineStr">
        <is>
          <t>北市</t>
        </is>
      </c>
      <c r="L254" s="10" t="inlineStr">
        <is>
          <t>114/07/01</t>
        </is>
      </c>
      <c r="M254" s="10" t="inlineStr">
        <is>
          <t>4738</t>
        </is>
      </c>
      <c r="N254" s="10" t="inlineStr">
        <is>
          <t>2026-06-05</t>
        </is>
      </c>
      <c r="O254" s="11" t="inlineStr">
        <is>
          <t>https://www.roccpa.org.tw/member_search/more?id=055AB5DB-6ACF-47E5-AE15-5D5BE68DB8C7</t>
        </is>
      </c>
    </row>
    <row r="255">
      <c r="A255" s="10" t="n">
        <v>254</v>
      </c>
      <c r="B255" s="11" t="inlineStr">
        <is>
          <t>資誠聯合會計師事務所</t>
        </is>
      </c>
      <c r="C255" s="11" t="inlineStr">
        <is>
          <t>PwC 資誠</t>
        </is>
      </c>
      <c r="D255" s="11" t="inlineStr">
        <is>
          <t>簡汎亞</t>
        </is>
      </c>
      <c r="E255" s="10" t="inlineStr">
        <is>
          <t>台北總所</t>
        </is>
      </c>
      <c r="F255" s="12" t="inlineStr">
        <is>
          <t>台北市信義區基隆路一段333號27樓</t>
        </is>
      </c>
      <c r="G255" s="12" t="inlineStr">
        <is>
          <t>台北市信義區基隆路一段333號27樓</t>
        </is>
      </c>
      <c r="H255" s="12" t="inlineStr"/>
      <c r="I255" s="10" t="inlineStr">
        <is>
          <t>107/06/01</t>
        </is>
      </c>
      <c r="J255" s="11" t="inlineStr">
        <is>
          <t>全聯會一字第1070228</t>
        </is>
      </c>
      <c r="K255" s="10" t="inlineStr">
        <is>
          <t>北市</t>
        </is>
      </c>
      <c r="L255" s="10" t="inlineStr">
        <is>
          <t>107/06/01</t>
        </is>
      </c>
      <c r="M255" s="10" t="inlineStr">
        <is>
          <t>4099</t>
        </is>
      </c>
      <c r="N255" s="10" t="inlineStr">
        <is>
          <t>2026-06-05</t>
        </is>
      </c>
      <c r="O255" s="11" t="inlineStr">
        <is>
          <t>https://www.roccpa.org.tw/member_search/more?id=27C68C61-0AC4-4842-A729-3D961A432B20</t>
        </is>
      </c>
    </row>
    <row r="256">
      <c r="A256" s="10" t="n">
        <v>255</v>
      </c>
      <c r="B256" s="11" t="inlineStr">
        <is>
          <t>資誠聯合會計師事務所</t>
        </is>
      </c>
      <c r="C256" s="11" t="inlineStr">
        <is>
          <t>PwC 資誠</t>
        </is>
      </c>
      <c r="D256" s="11" t="inlineStr">
        <is>
          <t>紀淑梅</t>
        </is>
      </c>
      <c r="E256" s="10" t="inlineStr">
        <is>
          <t>台北總所</t>
        </is>
      </c>
      <c r="F256" s="12" t="inlineStr">
        <is>
          <t>台北市信義區基隆路一段333號27樓</t>
        </is>
      </c>
      <c r="G256" s="12" t="inlineStr">
        <is>
          <t>台北市信義區基隆路一段333號27樓</t>
        </is>
      </c>
      <c r="H256" s="12" t="inlineStr"/>
      <c r="I256" s="10" t="inlineStr">
        <is>
          <t>104/02/17</t>
        </is>
      </c>
      <c r="J256" s="11" t="inlineStr">
        <is>
          <t>全聯會一字第1040081</t>
        </is>
      </c>
      <c r="K256" s="10" t="inlineStr">
        <is>
          <t>北市</t>
        </is>
      </c>
      <c r="L256" s="10" t="inlineStr">
        <is>
          <t>104/03/03</t>
        </is>
      </c>
      <c r="M256" s="10" t="inlineStr">
        <is>
          <t>3803</t>
        </is>
      </c>
      <c r="N256" s="10" t="inlineStr">
        <is>
          <t>2026-06-05</t>
        </is>
      </c>
      <c r="O256" s="11" t="inlineStr">
        <is>
          <t>https://www.roccpa.org.tw/member_search/more?id=BBC5A94F-9AC2-490C-B3A4-C5E9D8313A39</t>
        </is>
      </c>
    </row>
    <row r="257">
      <c r="A257" s="10" t="n">
        <v>256</v>
      </c>
      <c r="B257" s="11" t="inlineStr">
        <is>
          <t>資誠聯合會計師事務所</t>
        </is>
      </c>
      <c r="C257" s="11" t="inlineStr">
        <is>
          <t>PwC 資誠</t>
        </is>
      </c>
      <c r="D257" s="11" t="inlineStr">
        <is>
          <t>羅蕉森</t>
        </is>
      </c>
      <c r="E257" s="10" t="inlineStr">
        <is>
          <t>台北總所</t>
        </is>
      </c>
      <c r="F257" s="12" t="inlineStr">
        <is>
          <t>台北市信義區基隆路一段333號27樓</t>
        </is>
      </c>
      <c r="G257" s="12" t="inlineStr">
        <is>
          <t>台北市信義區基隆路一段333號27樓</t>
        </is>
      </c>
      <c r="H257" s="12" t="inlineStr"/>
      <c r="I257" s="10" t="inlineStr">
        <is>
          <t>107/06/01</t>
        </is>
      </c>
      <c r="J257" s="11" t="inlineStr">
        <is>
          <t>全聯會一字第1070226</t>
        </is>
      </c>
      <c r="K257" s="10" t="inlineStr">
        <is>
          <t>北市</t>
        </is>
      </c>
      <c r="L257" s="10" t="inlineStr">
        <is>
          <t>107/06/01</t>
        </is>
      </c>
      <c r="M257" s="10" t="inlineStr">
        <is>
          <t>4097</t>
        </is>
      </c>
      <c r="N257" s="10" t="inlineStr">
        <is>
          <t>2026-06-05</t>
        </is>
      </c>
      <c r="O257" s="11" t="inlineStr">
        <is>
          <t>https://www.roccpa.org.tw/member_search/more?id=6BF11A38-0870-4A3E-8F1B-20081141553E</t>
        </is>
      </c>
    </row>
    <row r="258">
      <c r="A258" s="10" t="n">
        <v>257</v>
      </c>
      <c r="B258" s="11" t="inlineStr">
        <is>
          <t>資誠聯合會計師事務所</t>
        </is>
      </c>
      <c r="C258" s="11" t="inlineStr">
        <is>
          <t>PwC 資誠</t>
        </is>
      </c>
      <c r="D258" s="11" t="inlineStr">
        <is>
          <t>胡友貞</t>
        </is>
      </c>
      <c r="E258" s="10" t="inlineStr">
        <is>
          <t>台北總所</t>
        </is>
      </c>
      <c r="F258" s="12" t="inlineStr">
        <is>
          <t>台北市信義區基隆路一段333號27樓</t>
        </is>
      </c>
      <c r="G258" s="12" t="inlineStr">
        <is>
          <t>台北市信義區基隆路一段333號27樓</t>
        </is>
      </c>
      <c r="H258" s="12" t="inlineStr"/>
      <c r="I258" s="10" t="inlineStr">
        <is>
          <t>110/06/15</t>
        </is>
      </c>
      <c r="J258" s="11" t="inlineStr">
        <is>
          <t>全聯會一字第1100243</t>
        </is>
      </c>
      <c r="K258" s="10" t="inlineStr">
        <is>
          <t>北市</t>
        </is>
      </c>
      <c r="L258" s="10" t="inlineStr">
        <is>
          <t>110/06/15</t>
        </is>
      </c>
      <c r="M258" s="10" t="inlineStr">
        <is>
          <t>4346</t>
        </is>
      </c>
      <c r="N258" s="10" t="inlineStr">
        <is>
          <t>2026-06-05</t>
        </is>
      </c>
      <c r="O258" s="11" t="inlineStr">
        <is>
          <t>https://www.roccpa.org.tw/member_search/more?id=F6466966-38A2-4608-BD9C-6AF2201BB7EB</t>
        </is>
      </c>
    </row>
    <row r="259">
      <c r="A259" s="10" t="n">
        <v>258</v>
      </c>
      <c r="B259" s="11" t="inlineStr">
        <is>
          <t>資誠聯合會計師事務所</t>
        </is>
      </c>
      <c r="C259" s="11" t="inlineStr">
        <is>
          <t>PwC 資誠</t>
        </is>
      </c>
      <c r="D259" s="11" t="inlineStr">
        <is>
          <t>胡智華</t>
        </is>
      </c>
      <c r="E259" s="10" t="inlineStr">
        <is>
          <t>台北總所</t>
        </is>
      </c>
      <c r="F259" s="12" t="inlineStr">
        <is>
          <t>台北市信義區基隆路一段333號27樓</t>
        </is>
      </c>
      <c r="G259" s="12" t="inlineStr">
        <is>
          <t>台北市信義區基隆路一段333號27樓</t>
        </is>
      </c>
      <c r="H259" s="12" t="inlineStr"/>
      <c r="I259" s="10" t="inlineStr">
        <is>
          <t>112/06/15</t>
        </is>
      </c>
      <c r="J259" s="11" t="inlineStr">
        <is>
          <t>全聯會一字第1120239</t>
        </is>
      </c>
      <c r="K259" s="10" t="inlineStr">
        <is>
          <t>北市</t>
        </is>
      </c>
      <c r="L259" s="10" t="inlineStr">
        <is>
          <t>112/06/15</t>
        </is>
      </c>
      <c r="M259" s="10" t="inlineStr">
        <is>
          <t>4542</t>
        </is>
      </c>
      <c r="N259" s="10" t="inlineStr">
        <is>
          <t>2026-06-05</t>
        </is>
      </c>
      <c r="O259" s="11" t="inlineStr">
        <is>
          <t>https://www.roccpa.org.tw/member_search/more?id=19C8960E-9C3F-481E-B4E9-F0FBC35E9B7C</t>
        </is>
      </c>
    </row>
    <row r="260">
      <c r="A260" s="10" t="n">
        <v>259</v>
      </c>
      <c r="B260" s="11" t="inlineStr">
        <is>
          <t>資誠聯合會計師事務所</t>
        </is>
      </c>
      <c r="C260" s="11" t="inlineStr">
        <is>
          <t>PwC 資誠</t>
        </is>
      </c>
      <c r="D260" s="11" t="inlineStr">
        <is>
          <t>范香琴</t>
        </is>
      </c>
      <c r="E260" s="10" t="inlineStr">
        <is>
          <t>台北總所</t>
        </is>
      </c>
      <c r="F260" s="12" t="inlineStr">
        <is>
          <t>台北市信義區基隆路一段333號27樓</t>
        </is>
      </c>
      <c r="G260" s="12" t="inlineStr">
        <is>
          <t>台北市信義區基隆路一段333號27樓</t>
        </is>
      </c>
      <c r="H260" s="12" t="inlineStr"/>
      <c r="I260" s="10" t="inlineStr">
        <is>
          <t>109/07/01</t>
        </is>
      </c>
      <c r="J260" s="11" t="inlineStr">
        <is>
          <t>全聯會一字第1090241</t>
        </is>
      </c>
      <c r="K260" s="10" t="inlineStr">
        <is>
          <t>北市</t>
        </is>
      </c>
      <c r="L260" s="10" t="inlineStr">
        <is>
          <t>109/07/01</t>
        </is>
      </c>
      <c r="M260" s="10" t="inlineStr">
        <is>
          <t>4264</t>
        </is>
      </c>
      <c r="N260" s="10" t="inlineStr">
        <is>
          <t>2026-06-05</t>
        </is>
      </c>
      <c r="O260" s="11" t="inlineStr">
        <is>
          <t>https://www.roccpa.org.tw/member_search/more?id=9F027515-642E-4F61-8F64-1CEBE41EE568</t>
        </is>
      </c>
    </row>
    <row r="261">
      <c r="A261" s="10" t="n">
        <v>260</v>
      </c>
      <c r="B261" s="11" t="inlineStr">
        <is>
          <t>資誠聯合會計師事務所</t>
        </is>
      </c>
      <c r="C261" s="11" t="inlineStr">
        <is>
          <t>PwC 資誠</t>
        </is>
      </c>
      <c r="D261" s="11" t="inlineStr">
        <is>
          <t>葉翠苗</t>
        </is>
      </c>
      <c r="E261" s="10" t="inlineStr">
        <is>
          <t>台北總所</t>
        </is>
      </c>
      <c r="F261" s="12" t="inlineStr">
        <is>
          <t>台北市信義區基隆路一段333號27樓</t>
        </is>
      </c>
      <c r="G261" s="12" t="inlineStr">
        <is>
          <t>台北市信義區基隆路一段333號27樓</t>
        </is>
      </c>
      <c r="H261" s="12" t="inlineStr"/>
      <c r="I261" s="10" t="inlineStr"/>
      <c r="J261" s="11" t="inlineStr"/>
      <c r="K261" s="10" t="inlineStr">
        <is>
          <t>北市</t>
        </is>
      </c>
      <c r="L261" s="10" t="inlineStr">
        <is>
          <t>095/12/01</t>
        </is>
      </c>
      <c r="M261" s="10" t="inlineStr">
        <is>
          <t>2890</t>
        </is>
      </c>
      <c r="N261" s="10" t="inlineStr">
        <is>
          <t>2026-06-05</t>
        </is>
      </c>
      <c r="O261" s="11" t="inlineStr">
        <is>
          <t>https://www.roccpa.org.tw/member_search/more?id=68232659-A889-4B55-8720-9B7681F47A65</t>
        </is>
      </c>
    </row>
    <row r="262">
      <c r="A262" s="10" t="n">
        <v>261</v>
      </c>
      <c r="B262" s="11" t="inlineStr">
        <is>
          <t>資誠聯合會計師事務所</t>
        </is>
      </c>
      <c r="C262" s="11" t="inlineStr">
        <is>
          <t>PwC 資誠</t>
        </is>
      </c>
      <c r="D262" s="11" t="inlineStr">
        <is>
          <t>蔡亦臺</t>
        </is>
      </c>
      <c r="E262" s="10" t="inlineStr">
        <is>
          <t>台北總所</t>
        </is>
      </c>
      <c r="F262" s="12" t="inlineStr">
        <is>
          <t>台北市信義區基隆路一段333號27樓</t>
        </is>
      </c>
      <c r="G262" s="12" t="inlineStr">
        <is>
          <t>台北市信義區基隆路一段333號27樓</t>
        </is>
      </c>
      <c r="H262" s="12" t="inlineStr"/>
      <c r="I262" s="10" t="inlineStr">
        <is>
          <t>108/07/01</t>
        </is>
      </c>
      <c r="J262" s="11" t="inlineStr">
        <is>
          <t>全聯會一字第1080239</t>
        </is>
      </c>
      <c r="K262" s="10" t="inlineStr">
        <is>
          <t>北市</t>
        </is>
      </c>
      <c r="L262" s="10" t="inlineStr">
        <is>
          <t>108/07/01</t>
        </is>
      </c>
      <c r="M262" s="10" t="inlineStr">
        <is>
          <t>4177</t>
        </is>
      </c>
      <c r="N262" s="10" t="inlineStr">
        <is>
          <t>2026-06-05</t>
        </is>
      </c>
      <c r="O262" s="11" t="inlineStr">
        <is>
          <t>https://www.roccpa.org.tw/member_search/more?id=66C64700-F50B-44D8-B9CA-B17CA9037DF9</t>
        </is>
      </c>
    </row>
    <row r="263">
      <c r="A263" s="10" t="n">
        <v>262</v>
      </c>
      <c r="B263" s="11" t="inlineStr">
        <is>
          <t>資誠聯合會計師事務所</t>
        </is>
      </c>
      <c r="C263" s="11" t="inlineStr">
        <is>
          <t>PwC 資誠</t>
        </is>
      </c>
      <c r="D263" s="11" t="inlineStr">
        <is>
          <t>蔡怡歆</t>
        </is>
      </c>
      <c r="E263" s="10" t="inlineStr">
        <is>
          <t>台北總所</t>
        </is>
      </c>
      <c r="F263" s="12" t="inlineStr">
        <is>
          <t>台北市信義區基隆路一段333號27樓</t>
        </is>
      </c>
      <c r="G263" s="12" t="inlineStr">
        <is>
          <t>台北市信義區基隆路一段333號27樓</t>
        </is>
      </c>
      <c r="H263" s="12" t="inlineStr"/>
      <c r="I263" s="10" t="inlineStr">
        <is>
          <t>113/04/01</t>
        </is>
      </c>
      <c r="J263" s="11" t="inlineStr">
        <is>
          <t>全聯會一字第1130000167號</t>
        </is>
      </c>
      <c r="K263" s="10" t="inlineStr">
        <is>
          <t>北市</t>
        </is>
      </c>
      <c r="L263" s="10" t="inlineStr">
        <is>
          <t>113/04/01</t>
        </is>
      </c>
      <c r="M263" s="10" t="inlineStr">
        <is>
          <t>4614</t>
        </is>
      </c>
      <c r="N263" s="10" t="inlineStr">
        <is>
          <t>2026-06-05</t>
        </is>
      </c>
      <c r="O263" s="11" t="inlineStr">
        <is>
          <t>https://www.roccpa.org.tw/member_search/more?id=A50B5EB0-CB1A-4E8F-B49B-BAB2B45DA299</t>
        </is>
      </c>
    </row>
    <row r="264">
      <c r="A264" s="10" t="n">
        <v>263</v>
      </c>
      <c r="B264" s="11" t="inlineStr">
        <is>
          <t>資誠聯合會計師事務所</t>
        </is>
      </c>
      <c r="C264" s="11" t="inlineStr">
        <is>
          <t>PwC 資誠</t>
        </is>
      </c>
      <c r="D264" s="11" t="inlineStr">
        <is>
          <t>蔡晏潭</t>
        </is>
      </c>
      <c r="E264" s="10" t="inlineStr">
        <is>
          <t>台北總所</t>
        </is>
      </c>
      <c r="F264" s="12" t="inlineStr">
        <is>
          <t>台北市信義區基隆路一段333號27樓</t>
        </is>
      </c>
      <c r="G264" s="12" t="inlineStr">
        <is>
          <t>台北市信義區基隆路一段333號27樓</t>
        </is>
      </c>
      <c r="H264" s="12" t="inlineStr"/>
      <c r="I264" s="10" t="inlineStr">
        <is>
          <t>108/07/01</t>
        </is>
      </c>
      <c r="J264" s="11" t="inlineStr">
        <is>
          <t>全聯會一字第1080240</t>
        </is>
      </c>
      <c r="K264" s="10" t="inlineStr">
        <is>
          <t>北市</t>
        </is>
      </c>
      <c r="L264" s="10" t="inlineStr">
        <is>
          <t>108/07/01</t>
        </is>
      </c>
      <c r="M264" s="10" t="inlineStr">
        <is>
          <t>4178</t>
        </is>
      </c>
      <c r="N264" s="10" t="inlineStr">
        <is>
          <t>2026-06-05</t>
        </is>
      </c>
      <c r="O264" s="11" t="inlineStr">
        <is>
          <t>https://www.roccpa.org.tw/member_search/more?id=F6230226-2206-41A9-BB4F-BCC396865CB8</t>
        </is>
      </c>
    </row>
    <row r="265">
      <c r="A265" s="10" t="n">
        <v>264</v>
      </c>
      <c r="B265" s="11" t="inlineStr">
        <is>
          <t>資誠聯合會計師事務所</t>
        </is>
      </c>
      <c r="C265" s="11" t="inlineStr">
        <is>
          <t>PwC 資誠</t>
        </is>
      </c>
      <c r="D265" s="11" t="inlineStr">
        <is>
          <t>蔡蓓華</t>
        </is>
      </c>
      <c r="E265" s="10" t="inlineStr">
        <is>
          <t>台北總所</t>
        </is>
      </c>
      <c r="F265" s="12" t="inlineStr">
        <is>
          <t>台北市信義區基隆路一段333號27樓</t>
        </is>
      </c>
      <c r="G265" s="12" t="inlineStr">
        <is>
          <t>台北市信義區基隆路一段333號27樓</t>
        </is>
      </c>
      <c r="H265" s="12" t="inlineStr"/>
      <c r="I265" s="10" t="inlineStr">
        <is>
          <t>113/07/01</t>
        </is>
      </c>
      <c r="J265" s="11" t="inlineStr">
        <is>
          <t>全聯會一字第1130000306號</t>
        </is>
      </c>
      <c r="K265" s="10" t="inlineStr">
        <is>
          <t>北市</t>
        </is>
      </c>
      <c r="L265" s="10" t="inlineStr">
        <is>
          <t>113/07/01</t>
        </is>
      </c>
      <c r="M265" s="10" t="inlineStr">
        <is>
          <t>4649</t>
        </is>
      </c>
      <c r="N265" s="10" t="inlineStr">
        <is>
          <t>2026-06-05</t>
        </is>
      </c>
      <c r="O265" s="11" t="inlineStr">
        <is>
          <t>https://www.roccpa.org.tw/member_search/more?id=A6F0A159-4DC8-4683-8220-9B88EA6AAAE8</t>
        </is>
      </c>
    </row>
    <row r="266">
      <c r="A266" s="10" t="n">
        <v>265</v>
      </c>
      <c r="B266" s="11" t="inlineStr">
        <is>
          <t>資誠聯合會計師事務所</t>
        </is>
      </c>
      <c r="C266" s="11" t="inlineStr">
        <is>
          <t>PwC 資誠</t>
        </is>
      </c>
      <c r="D266" s="11" t="inlineStr">
        <is>
          <t>蕭春鴛</t>
        </is>
      </c>
      <c r="E266" s="10" t="inlineStr">
        <is>
          <t>台北總所</t>
        </is>
      </c>
      <c r="F266" s="12" t="inlineStr">
        <is>
          <t>台北市信義區基隆路一段333號27樓</t>
        </is>
      </c>
      <c r="G266" s="12" t="inlineStr">
        <is>
          <t>台北市信義區基隆路一段333號27樓</t>
        </is>
      </c>
      <c r="H266" s="12" t="inlineStr"/>
      <c r="I266" s="10" t="inlineStr"/>
      <c r="J266" s="11" t="inlineStr"/>
      <c r="K266" s="10" t="inlineStr">
        <is>
          <t>北市</t>
        </is>
      </c>
      <c r="L266" s="10" t="inlineStr">
        <is>
          <t>096/05/23</t>
        </is>
      </c>
      <c r="M266" s="10" t="inlineStr">
        <is>
          <t>2942</t>
        </is>
      </c>
      <c r="N266" s="10" t="inlineStr">
        <is>
          <t>2026-06-05</t>
        </is>
      </c>
      <c r="O266" s="11" t="inlineStr">
        <is>
          <t>https://www.roccpa.org.tw/member_search/more?id=0FF47265-043C-4546-B163-1A10FFA9C69A</t>
        </is>
      </c>
    </row>
    <row r="267">
      <c r="A267" s="10" t="n">
        <v>266</v>
      </c>
      <c r="B267" s="11" t="inlineStr">
        <is>
          <t>資誠聯合會計師事務所</t>
        </is>
      </c>
      <c r="C267" s="11" t="inlineStr">
        <is>
          <t>PwC 資誠</t>
        </is>
      </c>
      <c r="D267" s="11" t="inlineStr">
        <is>
          <t>許祺昌</t>
        </is>
      </c>
      <c r="E267" s="10" t="inlineStr">
        <is>
          <t>台北總所</t>
        </is>
      </c>
      <c r="F267" s="12" t="inlineStr">
        <is>
          <t>台北市信義區基隆路一段333號27樓</t>
        </is>
      </c>
      <c r="G267" s="12" t="inlineStr">
        <is>
          <t>台北市信義區基隆路一段333號27樓</t>
        </is>
      </c>
      <c r="H267" s="12" t="inlineStr"/>
      <c r="I267" s="10" t="inlineStr"/>
      <c r="J267" s="11" t="inlineStr"/>
      <c r="K267" s="10" t="inlineStr">
        <is>
          <t>北市</t>
        </is>
      </c>
      <c r="L267" s="10" t="inlineStr">
        <is>
          <t>089/03/13</t>
        </is>
      </c>
      <c r="M267" s="10" t="inlineStr">
        <is>
          <t>2257</t>
        </is>
      </c>
      <c r="N267" s="10" t="inlineStr">
        <is>
          <t>2026-06-05</t>
        </is>
      </c>
      <c r="O267" s="11" t="inlineStr">
        <is>
          <t>https://www.roccpa.org.tw/member_search/more?id=17D29B96-EE8E-4B71-BB37-DA2A1CEBC367</t>
        </is>
      </c>
    </row>
    <row r="268">
      <c r="A268" s="10" t="n">
        <v>267</v>
      </c>
      <c r="B268" s="11" t="inlineStr">
        <is>
          <t>資誠聯合會計師事務所</t>
        </is>
      </c>
      <c r="C268" s="11" t="inlineStr">
        <is>
          <t>PwC 資誠</t>
        </is>
      </c>
      <c r="D268" s="11" t="inlineStr">
        <is>
          <t>謝智政</t>
        </is>
      </c>
      <c r="E268" s="10" t="inlineStr">
        <is>
          <t>台北總所</t>
        </is>
      </c>
      <c r="F268" s="12" t="inlineStr">
        <is>
          <t>台北市信義區基隆路一段333號27樓</t>
        </is>
      </c>
      <c r="G268" s="12" t="inlineStr">
        <is>
          <t>台北市信義區基隆路一段333號27樓</t>
        </is>
      </c>
      <c r="H268" s="12" t="inlineStr"/>
      <c r="I268" s="10" t="inlineStr">
        <is>
          <t>099/07/09</t>
        </is>
      </c>
      <c r="J268" s="11" t="inlineStr">
        <is>
          <t>全聯會一字第09900323</t>
        </is>
      </c>
      <c r="K268" s="10" t="inlineStr">
        <is>
          <t>北市</t>
        </is>
      </c>
      <c r="L268" s="10" t="inlineStr">
        <is>
          <t>099/07/19</t>
        </is>
      </c>
      <c r="M268" s="10" t="inlineStr">
        <is>
          <t>3246</t>
        </is>
      </c>
      <c r="N268" s="10" t="inlineStr">
        <is>
          <t>2026-06-05</t>
        </is>
      </c>
      <c r="O268" s="11" t="inlineStr">
        <is>
          <t>https://www.roccpa.org.tw/member_search/more?id=BB4BCAA1-8364-415D-B0DC-B47940977654</t>
        </is>
      </c>
    </row>
    <row r="269">
      <c r="A269" s="10" t="n">
        <v>268</v>
      </c>
      <c r="B269" s="11" t="inlineStr">
        <is>
          <t>資誠聯合會計師事務所</t>
        </is>
      </c>
      <c r="C269" s="11" t="inlineStr">
        <is>
          <t>PwC 資誠</t>
        </is>
      </c>
      <c r="D269" s="11" t="inlineStr">
        <is>
          <t>謝淑美</t>
        </is>
      </c>
      <c r="E269" s="10" t="inlineStr">
        <is>
          <t>台北總所</t>
        </is>
      </c>
      <c r="F269" s="12" t="inlineStr">
        <is>
          <t>台北市信義區基隆路一段333號27樓</t>
        </is>
      </c>
      <c r="G269" s="12" t="inlineStr">
        <is>
          <t>台北市信義區基隆路一段333號27樓</t>
        </is>
      </c>
      <c r="H269" s="12" t="inlineStr"/>
      <c r="I269" s="10" t="inlineStr">
        <is>
          <t>097/10/30</t>
        </is>
      </c>
      <c r="J269" s="11" t="inlineStr">
        <is>
          <t>全聯會一字第09700110</t>
        </is>
      </c>
      <c r="K269" s="10" t="inlineStr">
        <is>
          <t>北市</t>
        </is>
      </c>
      <c r="L269" s="10" t="inlineStr">
        <is>
          <t>097/09/12</t>
        </is>
      </c>
      <c r="M269" s="10" t="inlineStr">
        <is>
          <t>3034</t>
        </is>
      </c>
      <c r="N269" s="10" t="inlineStr">
        <is>
          <t>2026-06-05</t>
        </is>
      </c>
      <c r="O269" s="11" t="inlineStr">
        <is>
          <t>https://www.roccpa.org.tw/member_search/more?id=4C180D06-7BDD-4F5D-A88C-A89C43495B43</t>
        </is>
      </c>
    </row>
    <row r="270">
      <c r="A270" s="10" t="n">
        <v>269</v>
      </c>
      <c r="B270" s="11" t="inlineStr">
        <is>
          <t>資誠聯合會計師事務所</t>
        </is>
      </c>
      <c r="C270" s="11" t="inlineStr">
        <is>
          <t>PwC 資誠</t>
        </is>
      </c>
      <c r="D270" s="11" t="inlineStr">
        <is>
          <t>謝瑋莉</t>
        </is>
      </c>
      <c r="E270" s="10" t="inlineStr">
        <is>
          <t>台北總所</t>
        </is>
      </c>
      <c r="F270" s="12" t="inlineStr">
        <is>
          <t>台北市信義區基隆路一段333號27樓</t>
        </is>
      </c>
      <c r="G270" s="12" t="inlineStr">
        <is>
          <t>台北市信義區基隆路一段333號27樓</t>
        </is>
      </c>
      <c r="H270" s="12" t="inlineStr"/>
      <c r="I270" s="10" t="inlineStr">
        <is>
          <t>114/07/01</t>
        </is>
      </c>
      <c r="J270" s="11" t="inlineStr">
        <is>
          <t>全聯會一字第1140000270號</t>
        </is>
      </c>
      <c r="K270" s="10" t="inlineStr">
        <is>
          <t>北市</t>
        </is>
      </c>
      <c r="L270" s="10" t="inlineStr">
        <is>
          <t>114/07/01</t>
        </is>
      </c>
      <c r="M270" s="10" t="inlineStr">
        <is>
          <t>4739</t>
        </is>
      </c>
      <c r="N270" s="10" t="inlineStr">
        <is>
          <t>2026-06-05</t>
        </is>
      </c>
      <c r="O270" s="11" t="inlineStr">
        <is>
          <t>https://www.roccpa.org.tw/member_search/more?id=9E9E1E7E-49B3-4B5C-A5E9-CC9C51D96245</t>
        </is>
      </c>
    </row>
    <row r="271">
      <c r="A271" s="10" t="n">
        <v>270</v>
      </c>
      <c r="B271" s="11" t="inlineStr">
        <is>
          <t>資誠聯合會計師事務所</t>
        </is>
      </c>
      <c r="C271" s="11" t="inlineStr">
        <is>
          <t>PwC 資誠</t>
        </is>
      </c>
      <c r="D271" s="11" t="inlineStr">
        <is>
          <t>賴宗羲</t>
        </is>
      </c>
      <c r="E271" s="10" t="inlineStr">
        <is>
          <t>台北總所</t>
        </is>
      </c>
      <c r="F271" s="12" t="inlineStr">
        <is>
          <t>台北市信義區基隆路一段333號27樓</t>
        </is>
      </c>
      <c r="G271" s="12" t="inlineStr">
        <is>
          <t>台北市信義區基隆路一段333號27樓</t>
        </is>
      </c>
      <c r="H271" s="12" t="inlineStr"/>
      <c r="I271" s="10" t="inlineStr"/>
      <c r="J271" s="11" t="inlineStr"/>
      <c r="K271" s="10" t="inlineStr">
        <is>
          <t>北市</t>
        </is>
      </c>
      <c r="L271" s="10" t="inlineStr">
        <is>
          <t>085/12/27</t>
        </is>
      </c>
      <c r="M271" s="10" t="inlineStr">
        <is>
          <t>1886</t>
        </is>
      </c>
      <c r="N271" s="10" t="inlineStr">
        <is>
          <t>2026-06-05</t>
        </is>
      </c>
      <c r="O271" s="11" t="inlineStr">
        <is>
          <t>https://www.roccpa.org.tw/member_search/more?id=A62019E1-CDE7-432E-9940-38FCEB13FABA</t>
        </is>
      </c>
    </row>
    <row r="272">
      <c r="A272" s="10" t="n">
        <v>271</v>
      </c>
      <c r="B272" s="11" t="inlineStr">
        <is>
          <t>資誠聯合會計師事務所</t>
        </is>
      </c>
      <c r="C272" s="11" t="inlineStr">
        <is>
          <t>PwC 資誠</t>
        </is>
      </c>
      <c r="D272" s="11" t="inlineStr">
        <is>
          <t>趙永潔</t>
        </is>
      </c>
      <c r="E272" s="10" t="inlineStr">
        <is>
          <t>台北總所</t>
        </is>
      </c>
      <c r="F272" s="12" t="inlineStr">
        <is>
          <t>台北市信義區基隆路一段333號27樓</t>
        </is>
      </c>
      <c r="G272" s="12" t="inlineStr">
        <is>
          <t>台北市信義區基隆路一段333號27樓</t>
        </is>
      </c>
      <c r="H272" s="12" t="inlineStr"/>
      <c r="I272" s="10" t="inlineStr">
        <is>
          <t>111/07/01</t>
        </is>
      </c>
      <c r="J272" s="11" t="inlineStr">
        <is>
          <t>全聯會一字第1110255</t>
        </is>
      </c>
      <c r="K272" s="10" t="inlineStr">
        <is>
          <t>北市</t>
        </is>
      </c>
      <c r="L272" s="10" t="inlineStr">
        <is>
          <t>111/07/01</t>
        </is>
      </c>
      <c r="M272" s="10" t="inlineStr">
        <is>
          <t>4445</t>
        </is>
      </c>
      <c r="N272" s="10" t="inlineStr">
        <is>
          <t>2026-06-05</t>
        </is>
      </c>
      <c r="O272" s="11" t="inlineStr">
        <is>
          <t>https://www.roccpa.org.tw/member_search/more?id=52EAFB03-CEB5-40A1-91CF-45A7D6EB1CCF</t>
        </is>
      </c>
    </row>
    <row r="273">
      <c r="A273" s="10" t="n">
        <v>272</v>
      </c>
      <c r="B273" s="11" t="inlineStr">
        <is>
          <t>資誠聯合會計師事務所</t>
        </is>
      </c>
      <c r="C273" s="11" t="inlineStr">
        <is>
          <t>PwC 資誠</t>
        </is>
      </c>
      <c r="D273" s="11" t="inlineStr">
        <is>
          <t>邱奕銜</t>
        </is>
      </c>
      <c r="E273" s="10" t="inlineStr">
        <is>
          <t>台北總所</t>
        </is>
      </c>
      <c r="F273" s="12" t="inlineStr">
        <is>
          <t>台北市信義區基隆路一段333號27樓</t>
        </is>
      </c>
      <c r="G273" s="12" t="inlineStr">
        <is>
          <t>台北市信義區基隆路一段333號27樓</t>
        </is>
      </c>
      <c r="H273" s="12" t="inlineStr"/>
      <c r="I273" s="10" t="inlineStr">
        <is>
          <t>114/07/01</t>
        </is>
      </c>
      <c r="J273" s="11" t="inlineStr">
        <is>
          <t>全聯會一字第1140000271號</t>
        </is>
      </c>
      <c r="K273" s="10" t="inlineStr">
        <is>
          <t>北市</t>
        </is>
      </c>
      <c r="L273" s="10" t="inlineStr">
        <is>
          <t>114/07/01</t>
        </is>
      </c>
      <c r="M273" s="10" t="inlineStr">
        <is>
          <t>4740</t>
        </is>
      </c>
      <c r="N273" s="10" t="inlineStr">
        <is>
          <t>2026-06-05</t>
        </is>
      </c>
      <c r="O273" s="11" t="inlineStr">
        <is>
          <t>https://www.roccpa.org.tw/member_search/more?id=E4337AF5-B9F3-42CF-B166-F55AEA8F21B3</t>
        </is>
      </c>
    </row>
    <row r="274">
      <c r="A274" s="10" t="n">
        <v>273</v>
      </c>
      <c r="B274" s="11" t="inlineStr">
        <is>
          <t>資誠聯合會計師事務所</t>
        </is>
      </c>
      <c r="C274" s="11" t="inlineStr">
        <is>
          <t>PwC 資誠</t>
        </is>
      </c>
      <c r="D274" s="11" t="inlineStr">
        <is>
          <t>邱昭賢</t>
        </is>
      </c>
      <c r="E274" s="10" t="inlineStr">
        <is>
          <t>台北總所</t>
        </is>
      </c>
      <c r="F274" s="12" t="inlineStr">
        <is>
          <t>台北市信義區基隆路一段333號27樓</t>
        </is>
      </c>
      <c r="G274" s="12" t="inlineStr">
        <is>
          <t>台北市信義區基隆路一段333號27樓</t>
        </is>
      </c>
      <c r="H274" s="12" t="inlineStr"/>
      <c r="I274" s="10" t="inlineStr">
        <is>
          <t>101/06/27</t>
        </is>
      </c>
      <c r="J274" s="11" t="inlineStr">
        <is>
          <t>全聯會一字第1010195</t>
        </is>
      </c>
      <c r="K274" s="10" t="inlineStr">
        <is>
          <t>北市</t>
        </is>
      </c>
      <c r="L274" s="10" t="inlineStr">
        <is>
          <t>101/07/06</t>
        </is>
      </c>
      <c r="M274" s="10" t="inlineStr">
        <is>
          <t>3476</t>
        </is>
      </c>
      <c r="N274" s="10" t="inlineStr">
        <is>
          <t>2026-06-05</t>
        </is>
      </c>
      <c r="O274" s="11" t="inlineStr">
        <is>
          <t>https://www.roccpa.org.tw/member_search/more?id=C5EBBAE3-BA88-45A3-B7A0-0F3821DAD789</t>
        </is>
      </c>
    </row>
    <row r="275">
      <c r="A275" s="10" t="n">
        <v>274</v>
      </c>
      <c r="B275" s="11" t="inlineStr">
        <is>
          <t>資誠聯合會計師事務所</t>
        </is>
      </c>
      <c r="C275" s="11" t="inlineStr">
        <is>
          <t>PwC 資誠</t>
        </is>
      </c>
      <c r="D275" s="11" t="inlineStr">
        <is>
          <t>郭加龍</t>
        </is>
      </c>
      <c r="E275" s="10" t="inlineStr">
        <is>
          <t>台北總所</t>
        </is>
      </c>
      <c r="F275" s="12" t="inlineStr">
        <is>
          <t>台北市信義區基隆路一段333號27樓</t>
        </is>
      </c>
      <c r="G275" s="12" t="inlineStr">
        <is>
          <t>台北市信義區基隆路一段333號27樓</t>
        </is>
      </c>
      <c r="H275" s="12" t="inlineStr"/>
      <c r="I275" s="10" t="inlineStr">
        <is>
          <t>111/07/01</t>
        </is>
      </c>
      <c r="J275" s="11" t="inlineStr">
        <is>
          <t>全聯會一字第1110257</t>
        </is>
      </c>
      <c r="K275" s="10" t="inlineStr">
        <is>
          <t>北市</t>
        </is>
      </c>
      <c r="L275" s="10" t="inlineStr">
        <is>
          <t>111/07/01</t>
        </is>
      </c>
      <c r="M275" s="10" t="inlineStr">
        <is>
          <t>4447</t>
        </is>
      </c>
      <c r="N275" s="10" t="inlineStr">
        <is>
          <t>2026-06-05</t>
        </is>
      </c>
      <c r="O275" s="11" t="inlineStr">
        <is>
          <t>https://www.roccpa.org.tw/member_search/more?id=77C25E26-5F0C-49A7-862F-616821D670B5</t>
        </is>
      </c>
    </row>
    <row r="276">
      <c r="A276" s="10" t="n">
        <v>275</v>
      </c>
      <c r="B276" s="11" t="inlineStr">
        <is>
          <t>資誠聯合會計師事務所</t>
        </is>
      </c>
      <c r="C276" s="11" t="inlineStr">
        <is>
          <t>PwC 資誠</t>
        </is>
      </c>
      <c r="D276" s="11" t="inlineStr">
        <is>
          <t>郭柏如</t>
        </is>
      </c>
      <c r="E276" s="10" t="inlineStr">
        <is>
          <t>台北總所</t>
        </is>
      </c>
      <c r="F276" s="12" t="inlineStr">
        <is>
          <t>台北市信義區基隆路一段333號27樓</t>
        </is>
      </c>
      <c r="G276" s="12" t="inlineStr">
        <is>
          <t>台北市信義區基隆路一段333號27樓</t>
        </is>
      </c>
      <c r="H276" s="12" t="inlineStr"/>
      <c r="I276" s="10" t="inlineStr">
        <is>
          <t>100/07/01</t>
        </is>
      </c>
      <c r="J276" s="11" t="inlineStr">
        <is>
          <t>全聯會一字第1000259</t>
        </is>
      </c>
      <c r="K276" s="10" t="inlineStr">
        <is>
          <t>北市</t>
        </is>
      </c>
      <c r="L276" s="10" t="inlineStr">
        <is>
          <t>100/07/06</t>
        </is>
      </c>
      <c r="M276" s="10" t="inlineStr">
        <is>
          <t>3368</t>
        </is>
      </c>
      <c r="N276" s="10" t="inlineStr">
        <is>
          <t>2026-06-05</t>
        </is>
      </c>
      <c r="O276" s="11" t="inlineStr">
        <is>
          <t>https://www.roccpa.org.tw/member_search/more?id=C690DDCB-3175-433C-95DE-95607AC982EC</t>
        </is>
      </c>
    </row>
    <row r="277">
      <c r="A277" s="10" t="n">
        <v>276</v>
      </c>
      <c r="B277" s="11" t="inlineStr">
        <is>
          <t>資誠聯合會計師事務所</t>
        </is>
      </c>
      <c r="C277" s="11" t="inlineStr">
        <is>
          <t>PwC 資誠</t>
        </is>
      </c>
      <c r="D277" s="11" t="inlineStr">
        <is>
          <t>鄧聖偉</t>
        </is>
      </c>
      <c r="E277" s="10" t="inlineStr">
        <is>
          <t>台北總所</t>
        </is>
      </c>
      <c r="F277" s="12" t="inlineStr">
        <is>
          <t>台北市信義區基隆路一段333號27樓</t>
        </is>
      </c>
      <c r="G277" s="12" t="inlineStr">
        <is>
          <t>台北市信義區基隆路一段333號27樓</t>
        </is>
      </c>
      <c r="H277" s="12" t="inlineStr"/>
      <c r="I277" s="10" t="inlineStr">
        <is>
          <t>102/03/25</t>
        </is>
      </c>
      <c r="J277" s="11" t="inlineStr">
        <is>
          <t>全聯會一字第1020141</t>
        </is>
      </c>
      <c r="K277" s="10" t="inlineStr">
        <is>
          <t>北市</t>
        </is>
      </c>
      <c r="L277" s="10" t="inlineStr">
        <is>
          <t>102/04/01</t>
        </is>
      </c>
      <c r="M277" s="10" t="inlineStr">
        <is>
          <t>3561</t>
        </is>
      </c>
      <c r="N277" s="10" t="inlineStr">
        <is>
          <t>2026-06-05</t>
        </is>
      </c>
      <c r="O277" s="11" t="inlineStr">
        <is>
          <t>https://www.roccpa.org.tw/member_search/more?id=E242FFD1-DB68-4FD2-88C6-649814B9ED28</t>
        </is>
      </c>
    </row>
    <row r="278">
      <c r="A278" s="10" t="n">
        <v>277</v>
      </c>
      <c r="B278" s="11" t="inlineStr">
        <is>
          <t>資誠聯合會計師事務所</t>
        </is>
      </c>
      <c r="C278" s="11" t="inlineStr">
        <is>
          <t>PwC 資誠</t>
        </is>
      </c>
      <c r="D278" s="11" t="inlineStr">
        <is>
          <t>鄭裕仁</t>
        </is>
      </c>
      <c r="E278" s="10" t="inlineStr">
        <is>
          <t>台北總所</t>
        </is>
      </c>
      <c r="F278" s="12" t="inlineStr">
        <is>
          <t>台北市信義區基隆路一段333號27樓</t>
        </is>
      </c>
      <c r="G278" s="12" t="inlineStr">
        <is>
          <t>台北市信義區基隆路一段333號27樓</t>
        </is>
      </c>
      <c r="H278" s="12" t="inlineStr"/>
      <c r="I278" s="10" t="inlineStr">
        <is>
          <t>113/07/01</t>
        </is>
      </c>
      <c r="J278" s="11" t="inlineStr">
        <is>
          <t>全聯會一字第1130000307號</t>
        </is>
      </c>
      <c r="K278" s="10" t="inlineStr">
        <is>
          <t>北市</t>
        </is>
      </c>
      <c r="L278" s="10" t="inlineStr">
        <is>
          <t>113/07/01</t>
        </is>
      </c>
      <c r="M278" s="10" t="inlineStr">
        <is>
          <t>4650</t>
        </is>
      </c>
      <c r="N278" s="10" t="inlineStr">
        <is>
          <t>2026-06-05</t>
        </is>
      </c>
      <c r="O278" s="11" t="inlineStr">
        <is>
          <t>https://www.roccpa.org.tw/member_search/more?id=9823DBBA-6DF3-48F0-8954-D2DED867BADD</t>
        </is>
      </c>
    </row>
    <row r="279">
      <c r="A279" s="10" t="n">
        <v>278</v>
      </c>
      <c r="B279" s="11" t="inlineStr">
        <is>
          <t>資誠聯合會計師事務所</t>
        </is>
      </c>
      <c r="C279" s="11" t="inlineStr">
        <is>
          <t>PwC 資誠</t>
        </is>
      </c>
      <c r="D279" s="11" t="inlineStr">
        <is>
          <t>鍾佳縈</t>
        </is>
      </c>
      <c r="E279" s="10" t="inlineStr">
        <is>
          <t>台北總所</t>
        </is>
      </c>
      <c r="F279" s="12" t="inlineStr">
        <is>
          <t>台北市信義區基隆路一段333號27樓</t>
        </is>
      </c>
      <c r="G279" s="12" t="inlineStr">
        <is>
          <t>台北市信義區基隆路一段333號27樓</t>
        </is>
      </c>
      <c r="H279" s="12" t="inlineStr"/>
      <c r="I279" s="10" t="inlineStr">
        <is>
          <t>113/07/01</t>
        </is>
      </c>
      <c r="J279" s="11" t="inlineStr">
        <is>
          <t>全聯會一字第1130000304號</t>
        </is>
      </c>
      <c r="K279" s="10" t="inlineStr">
        <is>
          <t>北市</t>
        </is>
      </c>
      <c r="L279" s="10" t="inlineStr">
        <is>
          <t>113/07/01</t>
        </is>
      </c>
      <c r="M279" s="10" t="inlineStr">
        <is>
          <t>4647</t>
        </is>
      </c>
      <c r="N279" s="10" t="inlineStr">
        <is>
          <t>2026-06-05</t>
        </is>
      </c>
      <c r="O279" s="11" t="inlineStr">
        <is>
          <t>https://www.roccpa.org.tw/member_search/more?id=FF8ED5AF-333E-4DFB-9398-C65728B5E816</t>
        </is>
      </c>
    </row>
    <row r="280">
      <c r="A280" s="10" t="n">
        <v>279</v>
      </c>
      <c r="B280" s="11" t="inlineStr">
        <is>
          <t>資誠聯合會計師事務所</t>
        </is>
      </c>
      <c r="C280" s="11" t="inlineStr">
        <is>
          <t>PwC 資誠</t>
        </is>
      </c>
      <c r="D280" s="11" t="inlineStr">
        <is>
          <t>阮呂曼玉</t>
        </is>
      </c>
      <c r="E280" s="10" t="inlineStr">
        <is>
          <t>台北總所</t>
        </is>
      </c>
      <c r="F280" s="12" t="inlineStr">
        <is>
          <t>台北市信義區基隆路一段333號27樓</t>
        </is>
      </c>
      <c r="G280" s="12" t="inlineStr">
        <is>
          <t>台北市信義區基隆路一段333號27樓</t>
        </is>
      </c>
      <c r="H280" s="12" t="inlineStr"/>
      <c r="I280" s="10" t="inlineStr"/>
      <c r="J280" s="11" t="inlineStr"/>
      <c r="K280" s="10" t="inlineStr">
        <is>
          <t>北市</t>
        </is>
      </c>
      <c r="L280" s="10" t="inlineStr">
        <is>
          <t>094/03/24</t>
        </is>
      </c>
      <c r="M280" s="10" t="inlineStr">
        <is>
          <t>2735</t>
        </is>
      </c>
      <c r="N280" s="10" t="inlineStr">
        <is>
          <t>2026-06-05</t>
        </is>
      </c>
      <c r="O280" s="11" t="inlineStr">
        <is>
          <t>https://www.roccpa.org.tw/member_search/more?id=F784CB12-F8E9-42A3-833D-682D07E856E6</t>
        </is>
      </c>
    </row>
    <row r="281">
      <c r="A281" s="10" t="n">
        <v>280</v>
      </c>
      <c r="B281" s="11" t="inlineStr">
        <is>
          <t>資誠聯合會計師事務所</t>
        </is>
      </c>
      <c r="C281" s="11" t="inlineStr">
        <is>
          <t>PwC 資誠</t>
        </is>
      </c>
      <c r="D281" s="11" t="inlineStr">
        <is>
          <t>陳以謙</t>
        </is>
      </c>
      <c r="E281" s="10" t="inlineStr">
        <is>
          <t>台北總所</t>
        </is>
      </c>
      <c r="F281" s="12" t="inlineStr">
        <is>
          <t>台北市信義區基隆路一段333號27樓</t>
        </is>
      </c>
      <c r="G281" s="12" t="inlineStr">
        <is>
          <t>台北市信義區基隆路一段333號27樓</t>
        </is>
      </c>
      <c r="H281" s="12" t="inlineStr"/>
      <c r="I281" s="10" t="inlineStr">
        <is>
          <t>111/07/01</t>
        </is>
      </c>
      <c r="J281" s="11" t="inlineStr">
        <is>
          <t>全聯會一字第1110259</t>
        </is>
      </c>
      <c r="K281" s="10" t="inlineStr">
        <is>
          <t>北市</t>
        </is>
      </c>
      <c r="L281" s="10" t="inlineStr">
        <is>
          <t>111/07/01</t>
        </is>
      </c>
      <c r="M281" s="10" t="inlineStr">
        <is>
          <t>4449</t>
        </is>
      </c>
      <c r="N281" s="10" t="inlineStr">
        <is>
          <t>2026-06-05</t>
        </is>
      </c>
      <c r="O281" s="11" t="inlineStr">
        <is>
          <t>https://www.roccpa.org.tw/member_search/more?id=826AD852-5975-4E7B-B74D-4D929203D25A</t>
        </is>
      </c>
    </row>
    <row r="282">
      <c r="A282" s="10" t="n">
        <v>281</v>
      </c>
      <c r="B282" s="11" t="inlineStr">
        <is>
          <t>資誠聯合會計師事務所</t>
        </is>
      </c>
      <c r="C282" s="11" t="inlineStr">
        <is>
          <t>PwC 資誠</t>
        </is>
      </c>
      <c r="D282" s="11" t="inlineStr">
        <is>
          <t>陳啓東</t>
        </is>
      </c>
      <c r="E282" s="10" t="inlineStr">
        <is>
          <t>台北總所</t>
        </is>
      </c>
      <c r="F282" s="12" t="inlineStr">
        <is>
          <t>台北市信義區基隆路一段333號27樓</t>
        </is>
      </c>
      <c r="G282" s="12" t="inlineStr">
        <is>
          <t>台北市信義區基隆路一段333號27樓</t>
        </is>
      </c>
      <c r="H282" s="12" t="inlineStr"/>
      <c r="I282" s="10" t="inlineStr">
        <is>
          <t>113/07/01</t>
        </is>
      </c>
      <c r="J282" s="11" t="inlineStr">
        <is>
          <t>全聯會一字第1130000302號</t>
        </is>
      </c>
      <c r="K282" s="10" t="inlineStr">
        <is>
          <t>北市</t>
        </is>
      </c>
      <c r="L282" s="10" t="inlineStr">
        <is>
          <t>113/07/01</t>
        </is>
      </c>
      <c r="M282" s="10" t="inlineStr">
        <is>
          <t>4645</t>
        </is>
      </c>
      <c r="N282" s="10" t="inlineStr">
        <is>
          <t>2026-06-05</t>
        </is>
      </c>
      <c r="O282" s="11" t="inlineStr">
        <is>
          <t>https://www.roccpa.org.tw/member_search/more?id=CC82D49A-D6C0-4787-B73D-2E36BE1898AD</t>
        </is>
      </c>
    </row>
    <row r="283">
      <c r="A283" s="10" t="n">
        <v>282</v>
      </c>
      <c r="B283" s="11" t="inlineStr">
        <is>
          <t>資誠聯合會計師事務所</t>
        </is>
      </c>
      <c r="C283" s="11" t="inlineStr">
        <is>
          <t>PwC 資誠</t>
        </is>
      </c>
      <c r="D283" s="11" t="inlineStr">
        <is>
          <t>陳怡婷</t>
        </is>
      </c>
      <c r="E283" s="10" t="inlineStr">
        <is>
          <t>台北總所</t>
        </is>
      </c>
      <c r="F283" s="12" t="inlineStr">
        <is>
          <t>台北市信義區基隆路一段333號27樓</t>
        </is>
      </c>
      <c r="G283" s="12" t="inlineStr">
        <is>
          <t>台北市信義區基隆路一段333號27樓</t>
        </is>
      </c>
      <c r="H283" s="12" t="inlineStr"/>
      <c r="I283" s="10" t="inlineStr">
        <is>
          <t>115/07/01</t>
        </is>
      </c>
      <c r="J283" s="11" t="inlineStr">
        <is>
          <t>全聯會一字第1150000325號</t>
        </is>
      </c>
      <c r="K283" s="10" t="inlineStr">
        <is>
          <t>北市</t>
        </is>
      </c>
      <c r="L283" s="10" t="inlineStr">
        <is>
          <t>115/07/01</t>
        </is>
      </c>
      <c r="M283" s="10" t="inlineStr">
        <is>
          <t>4913</t>
        </is>
      </c>
      <c r="N283" s="10" t="inlineStr">
        <is>
          <t>2026-07-06</t>
        </is>
      </c>
      <c r="O283" s="11" t="inlineStr">
        <is>
          <t>https://www.roccpa.org.tw/member_search/more?id=50387aa524e14647a39446a4bd42cfda</t>
        </is>
      </c>
    </row>
    <row r="284">
      <c r="A284" s="10" t="n">
        <v>283</v>
      </c>
      <c r="B284" s="11" t="inlineStr">
        <is>
          <t>資誠聯合會計師事務所</t>
        </is>
      </c>
      <c r="C284" s="11" t="inlineStr">
        <is>
          <t>PwC 資誠</t>
        </is>
      </c>
      <c r="D284" s="11" t="inlineStr">
        <is>
          <t>陳惠君</t>
        </is>
      </c>
      <c r="E284" s="10" t="inlineStr">
        <is>
          <t>台北總所</t>
        </is>
      </c>
      <c r="F284" s="12" t="inlineStr">
        <is>
          <t>台北市信義區基隆路一段333號27樓</t>
        </is>
      </c>
      <c r="G284" s="12" t="inlineStr">
        <is>
          <t>台北市信義區基隆路一段333號27樓</t>
        </is>
      </c>
      <c r="H284" s="12" t="inlineStr"/>
      <c r="I284" s="10" t="inlineStr">
        <is>
          <t>114/07/01</t>
        </is>
      </c>
      <c r="J284" s="11" t="inlineStr">
        <is>
          <t>全聯會一字第1140000267號</t>
        </is>
      </c>
      <c r="K284" s="10" t="inlineStr">
        <is>
          <t>北市</t>
        </is>
      </c>
      <c r="L284" s="10" t="inlineStr">
        <is>
          <t>114/07/01</t>
        </is>
      </c>
      <c r="M284" s="10" t="inlineStr">
        <is>
          <t>4736</t>
        </is>
      </c>
      <c r="N284" s="10" t="inlineStr">
        <is>
          <t>2026-06-05</t>
        </is>
      </c>
      <c r="O284" s="11" t="inlineStr">
        <is>
          <t>https://www.roccpa.org.tw/member_search/more?id=6CAD7CFD-3685-4423-A04B-79B45DC0F4C4</t>
        </is>
      </c>
    </row>
    <row r="285">
      <c r="A285" s="10" t="n">
        <v>284</v>
      </c>
      <c r="B285" s="11" t="inlineStr">
        <is>
          <t>資誠聯合會計師事務所</t>
        </is>
      </c>
      <c r="C285" s="11" t="inlineStr">
        <is>
          <t>PwC 資誠</t>
        </is>
      </c>
      <c r="D285" s="11" t="inlineStr">
        <is>
          <t>陳憲正</t>
        </is>
      </c>
      <c r="E285" s="10" t="inlineStr">
        <is>
          <t>台北總所</t>
        </is>
      </c>
      <c r="F285" s="12" t="inlineStr">
        <is>
          <t>台北市信義區基隆路一段333號27樓</t>
        </is>
      </c>
      <c r="G285" s="12" t="inlineStr">
        <is>
          <t>台北市信義區基隆路一段333號27樓</t>
        </is>
      </c>
      <c r="H285" s="12" t="inlineStr"/>
      <c r="I285" s="10" t="inlineStr">
        <is>
          <t>106/06/01</t>
        </is>
      </c>
      <c r="J285" s="11" t="inlineStr">
        <is>
          <t>全聯會一字第1060206</t>
        </is>
      </c>
      <c r="K285" s="10" t="inlineStr">
        <is>
          <t>北市</t>
        </is>
      </c>
      <c r="L285" s="10" t="inlineStr">
        <is>
          <t>106/06/12</t>
        </is>
      </c>
      <c r="M285" s="10" t="inlineStr">
        <is>
          <t>4017</t>
        </is>
      </c>
      <c r="N285" s="10" t="inlineStr">
        <is>
          <t>2026-06-05</t>
        </is>
      </c>
      <c r="O285" s="11" t="inlineStr">
        <is>
          <t>https://www.roccpa.org.tw/member_search/more?id=A5DC6211-71DE-43E2-A4D4-221E4B87FDFC</t>
        </is>
      </c>
    </row>
    <row r="286">
      <c r="A286" s="10" t="n">
        <v>285</v>
      </c>
      <c r="B286" s="11" t="inlineStr">
        <is>
          <t>資誠聯合會計師事務所</t>
        </is>
      </c>
      <c r="C286" s="11" t="inlineStr">
        <is>
          <t>PwC 資誠</t>
        </is>
      </c>
      <c r="D286" s="11" t="inlineStr">
        <is>
          <t>陳晉昌</t>
        </is>
      </c>
      <c r="E286" s="10" t="inlineStr">
        <is>
          <t>台北總所</t>
        </is>
      </c>
      <c r="F286" s="12" t="inlineStr">
        <is>
          <t>台北市信義區基隆路一段333號27樓</t>
        </is>
      </c>
      <c r="G286" s="12" t="inlineStr">
        <is>
          <t>台北市信義區基隆路一段333號27樓</t>
        </is>
      </c>
      <c r="H286" s="12" t="inlineStr"/>
      <c r="I286" s="10" t="inlineStr">
        <is>
          <t>106/06/01</t>
        </is>
      </c>
      <c r="J286" s="11" t="inlineStr">
        <is>
          <t>全聯會一字第1060207</t>
        </is>
      </c>
      <c r="K286" s="10" t="inlineStr">
        <is>
          <t>北市</t>
        </is>
      </c>
      <c r="L286" s="10" t="inlineStr">
        <is>
          <t>106/06/12</t>
        </is>
      </c>
      <c r="M286" s="10" t="inlineStr">
        <is>
          <t>4018</t>
        </is>
      </c>
      <c r="N286" s="10" t="inlineStr">
        <is>
          <t>2026-06-05</t>
        </is>
      </c>
      <c r="O286" s="11" t="inlineStr">
        <is>
          <t>https://www.roccpa.org.tw/member_search/more?id=0023E7AC-A8D9-4EEA-9206-D3C705F9B61F</t>
        </is>
      </c>
    </row>
    <row r="287">
      <c r="A287" s="10" t="n">
        <v>286</v>
      </c>
      <c r="B287" s="11" t="inlineStr">
        <is>
          <t>資誠聯合會計師事務所</t>
        </is>
      </c>
      <c r="C287" s="11" t="inlineStr">
        <is>
          <t>PwC 資誠</t>
        </is>
      </c>
      <c r="D287" s="11" t="inlineStr">
        <is>
          <t>陳民卿</t>
        </is>
      </c>
      <c r="E287" s="10" t="inlineStr">
        <is>
          <t>台北總所</t>
        </is>
      </c>
      <c r="F287" s="12" t="inlineStr">
        <is>
          <t>台北市信義區基隆路一段333號27樓</t>
        </is>
      </c>
      <c r="G287" s="12" t="inlineStr">
        <is>
          <t>台北市信義區基隆路一段333號27樓</t>
        </is>
      </c>
      <c r="H287" s="12" t="inlineStr"/>
      <c r="I287" s="10" t="inlineStr">
        <is>
          <t>112/06/15</t>
        </is>
      </c>
      <c r="J287" s="11" t="inlineStr">
        <is>
          <t>全聯會一字第1120238</t>
        </is>
      </c>
      <c r="K287" s="10" t="inlineStr">
        <is>
          <t>北市</t>
        </is>
      </c>
      <c r="L287" s="10" t="inlineStr">
        <is>
          <t>112/06/15</t>
        </is>
      </c>
      <c r="M287" s="10" t="inlineStr">
        <is>
          <t>4541</t>
        </is>
      </c>
      <c r="N287" s="10" t="inlineStr">
        <is>
          <t>2026-06-05</t>
        </is>
      </c>
      <c r="O287" s="11" t="inlineStr">
        <is>
          <t>https://www.roccpa.org.tw/member_search/more?id=60B539BC-A993-4F03-90B7-E9B61377744F</t>
        </is>
      </c>
    </row>
    <row r="288">
      <c r="A288" s="10" t="n">
        <v>287</v>
      </c>
      <c r="B288" s="11" t="inlineStr">
        <is>
          <t>資誠聯合會計師事務所</t>
        </is>
      </c>
      <c r="C288" s="11" t="inlineStr">
        <is>
          <t>PwC 資誠</t>
        </is>
      </c>
      <c r="D288" s="11" t="inlineStr">
        <is>
          <t>陳麗媛</t>
        </is>
      </c>
      <c r="E288" s="10" t="inlineStr">
        <is>
          <t>台北總所</t>
        </is>
      </c>
      <c r="F288" s="12" t="inlineStr">
        <is>
          <t>台北市信義區基隆路一段333號27樓</t>
        </is>
      </c>
      <c r="G288" s="12" t="inlineStr">
        <is>
          <t>台北市信義區基隆路一段333號27樓</t>
        </is>
      </c>
      <c r="H288" s="12" t="inlineStr"/>
      <c r="I288" s="10" t="inlineStr">
        <is>
          <t>105/06/22</t>
        </is>
      </c>
      <c r="J288" s="11" t="inlineStr">
        <is>
          <t>全聯會一字第1050273</t>
        </is>
      </c>
      <c r="K288" s="10" t="inlineStr">
        <is>
          <t>北市</t>
        </is>
      </c>
      <c r="L288" s="10" t="inlineStr">
        <is>
          <t>105/07/21</t>
        </is>
      </c>
      <c r="M288" s="10" t="inlineStr">
        <is>
          <t>3945</t>
        </is>
      </c>
      <c r="N288" s="10" t="inlineStr">
        <is>
          <t>2026-06-05</t>
        </is>
      </c>
      <c r="O288" s="11" t="inlineStr">
        <is>
          <t>https://www.roccpa.org.tw/member_search/more?id=552DAD40-6B71-4921-B6E3-60BF6A51D078</t>
        </is>
      </c>
    </row>
    <row r="289">
      <c r="A289" s="10" t="n">
        <v>288</v>
      </c>
      <c r="B289" s="11" t="inlineStr">
        <is>
          <t>資誠聯合會計師事務所</t>
        </is>
      </c>
      <c r="C289" s="11" t="inlineStr">
        <is>
          <t>PwC 資誠</t>
        </is>
      </c>
      <c r="D289" s="11" t="inlineStr">
        <is>
          <t>顏裕芳</t>
        </is>
      </c>
      <c r="E289" s="10" t="inlineStr">
        <is>
          <t>台北總所</t>
        </is>
      </c>
      <c r="F289" s="12" t="inlineStr">
        <is>
          <t>台北市信義區基隆路一段333號27樓</t>
        </is>
      </c>
      <c r="G289" s="12" t="inlineStr">
        <is>
          <t>台北市信義區基隆路一段333號27樓</t>
        </is>
      </c>
      <c r="H289" s="12" t="inlineStr"/>
      <c r="I289" s="10" t="inlineStr">
        <is>
          <t>108/07/01</t>
        </is>
      </c>
      <c r="J289" s="11" t="inlineStr">
        <is>
          <t>全聯會一字第1080238</t>
        </is>
      </c>
      <c r="K289" s="10" t="inlineStr">
        <is>
          <t>北市</t>
        </is>
      </c>
      <c r="L289" s="10" t="inlineStr">
        <is>
          <t>108/07/01</t>
        </is>
      </c>
      <c r="M289" s="10" t="inlineStr">
        <is>
          <t>4176</t>
        </is>
      </c>
      <c r="N289" s="10" t="inlineStr">
        <is>
          <t>2026-06-05</t>
        </is>
      </c>
      <c r="O289" s="11" t="inlineStr">
        <is>
          <t>https://www.roccpa.org.tw/member_search/more?id=98046DBF-C5C7-454F-A059-4AA772C256C1</t>
        </is>
      </c>
    </row>
    <row r="290">
      <c r="A290" s="10" t="n">
        <v>289</v>
      </c>
      <c r="B290" s="11" t="inlineStr">
        <is>
          <t>資誠聯合會計師事務所</t>
        </is>
      </c>
      <c r="C290" s="11" t="inlineStr">
        <is>
          <t>PwC 資誠</t>
        </is>
      </c>
      <c r="D290" s="11" t="inlineStr">
        <is>
          <t>馮敏娟</t>
        </is>
      </c>
      <c r="E290" s="10" t="inlineStr">
        <is>
          <t>台北總所</t>
        </is>
      </c>
      <c r="F290" s="12" t="inlineStr">
        <is>
          <t>台北市信義區基隆路一段333號27樓</t>
        </is>
      </c>
      <c r="G290" s="12" t="inlineStr">
        <is>
          <t>台北市信義區基隆路一段333號27樓</t>
        </is>
      </c>
      <c r="H290" s="12" t="inlineStr"/>
      <c r="I290" s="10" t="inlineStr"/>
      <c r="J290" s="11" t="inlineStr"/>
      <c r="K290" s="10" t="inlineStr">
        <is>
          <t>北市</t>
        </is>
      </c>
      <c r="L290" s="10" t="inlineStr">
        <is>
          <t>090/02/26</t>
        </is>
      </c>
      <c r="M290" s="10" t="inlineStr">
        <is>
          <t>2341</t>
        </is>
      </c>
      <c r="N290" s="10" t="inlineStr">
        <is>
          <t>2026-06-05</t>
        </is>
      </c>
      <c r="O290" s="11" t="inlineStr">
        <is>
          <t>https://www.roccpa.org.tw/member_search/more?id=C1261D27-8AE4-4CA0-B29B-CB1AB5D9817A</t>
        </is>
      </c>
    </row>
    <row r="291">
      <c r="A291" s="10" t="n">
        <v>290</v>
      </c>
      <c r="B291" s="11" t="inlineStr">
        <is>
          <t>資誠聯合會計師事務所</t>
        </is>
      </c>
      <c r="C291" s="11" t="inlineStr">
        <is>
          <t>PwC 資誠</t>
        </is>
      </c>
      <c r="D291" s="11" t="inlineStr">
        <is>
          <t>黃世鈞</t>
        </is>
      </c>
      <c r="E291" s="10" t="inlineStr">
        <is>
          <t>台北總所</t>
        </is>
      </c>
      <c r="F291" s="12" t="inlineStr">
        <is>
          <t>台北市信義區基隆路一段333號27樓</t>
        </is>
      </c>
      <c r="G291" s="12" t="inlineStr">
        <is>
          <t>台北市信義區基隆路一段333號27樓</t>
        </is>
      </c>
      <c r="H291" s="12" t="inlineStr"/>
      <c r="I291" s="10" t="inlineStr">
        <is>
          <t>105/06/22</t>
        </is>
      </c>
      <c r="J291" s="11" t="inlineStr">
        <is>
          <t>全聯會一字第1050271</t>
        </is>
      </c>
      <c r="K291" s="10" t="inlineStr">
        <is>
          <t>北市</t>
        </is>
      </c>
      <c r="L291" s="10" t="inlineStr">
        <is>
          <t>105/07/21</t>
        </is>
      </c>
      <c r="M291" s="10" t="inlineStr">
        <is>
          <t>3943</t>
        </is>
      </c>
      <c r="N291" s="10" t="inlineStr">
        <is>
          <t>2026-06-05</t>
        </is>
      </c>
      <c r="O291" s="11" t="inlineStr">
        <is>
          <t>https://www.roccpa.org.tw/member_search/more?id=E1D2D11B-B3A8-4E5D-9DDA-860213B26BDD</t>
        </is>
      </c>
    </row>
    <row r="292">
      <c r="A292" s="10" t="n">
        <v>291</v>
      </c>
      <c r="B292" s="11" t="inlineStr">
        <is>
          <t>資誠聯合會計師事務所</t>
        </is>
      </c>
      <c r="C292" s="11" t="inlineStr">
        <is>
          <t>PwC 資誠</t>
        </is>
      </c>
      <c r="D292" s="11" t="inlineStr">
        <is>
          <t>黃文利</t>
        </is>
      </c>
      <c r="E292" s="10" t="inlineStr">
        <is>
          <t>台北總所</t>
        </is>
      </c>
      <c r="F292" s="12" t="inlineStr">
        <is>
          <t>台北市信義區基隆路一段333號27樓</t>
        </is>
      </c>
      <c r="G292" s="12" t="inlineStr">
        <is>
          <t>台北市信義區基隆路一段333號27樓</t>
        </is>
      </c>
      <c r="H292" s="12" t="inlineStr"/>
      <c r="I292" s="10" t="inlineStr">
        <is>
          <t>101/07/09</t>
        </is>
      </c>
      <c r="J292" s="11" t="inlineStr">
        <is>
          <t>全聯會一字第1010215</t>
        </is>
      </c>
      <c r="K292" s="10" t="inlineStr">
        <is>
          <t>北市</t>
        </is>
      </c>
      <c r="L292" s="10" t="inlineStr">
        <is>
          <t>101/07/10</t>
        </is>
      </c>
      <c r="M292" s="10" t="inlineStr">
        <is>
          <t>3479</t>
        </is>
      </c>
      <c r="N292" s="10" t="inlineStr">
        <is>
          <t>2026-06-05</t>
        </is>
      </c>
      <c r="O292" s="11" t="inlineStr">
        <is>
          <t>https://www.roccpa.org.tw/member_search/more?id=C55A1810-2E1B-4E13-8DEE-F695BB89E4D8</t>
        </is>
      </c>
    </row>
    <row r="293">
      <c r="A293" s="10" t="n">
        <v>292</v>
      </c>
      <c r="B293" s="11" t="inlineStr">
        <is>
          <t>資誠聯合會計師事務所</t>
        </is>
      </c>
      <c r="C293" s="11" t="inlineStr">
        <is>
          <t>PwC 資誠</t>
        </is>
      </c>
      <c r="D293" s="11" t="inlineStr">
        <is>
          <t>黃清衍</t>
        </is>
      </c>
      <c r="E293" s="10" t="inlineStr">
        <is>
          <t>台北總所</t>
        </is>
      </c>
      <c r="F293" s="12" t="inlineStr">
        <is>
          <t>台北市信義區基隆路一段333號27樓</t>
        </is>
      </c>
      <c r="G293" s="12" t="inlineStr">
        <is>
          <t>台北市信義區基隆路一段333號27樓</t>
        </is>
      </c>
      <c r="H293" s="12" t="inlineStr"/>
      <c r="I293" s="10" t="inlineStr">
        <is>
          <t>110/06/15</t>
        </is>
      </c>
      <c r="J293" s="11" t="inlineStr">
        <is>
          <t>全聯會一字第1100242</t>
        </is>
      </c>
      <c r="K293" s="10" t="inlineStr">
        <is>
          <t>北市</t>
        </is>
      </c>
      <c r="L293" s="10" t="inlineStr">
        <is>
          <t>110/06/15</t>
        </is>
      </c>
      <c r="M293" s="10" t="inlineStr">
        <is>
          <t>4345</t>
        </is>
      </c>
      <c r="N293" s="10" t="inlineStr">
        <is>
          <t>2026-06-05</t>
        </is>
      </c>
      <c r="O293" s="11" t="inlineStr">
        <is>
          <t>https://www.roccpa.org.tw/member_search/more?id=91467E4C-527A-4C5C-91F0-73B256B064CC</t>
        </is>
      </c>
    </row>
    <row r="294">
      <c r="A294" s="10" t="n">
        <v>293</v>
      </c>
      <c r="B294" s="11" t="inlineStr">
        <is>
          <t>資誠聯合會計師事務所</t>
        </is>
      </c>
      <c r="C294" s="11" t="inlineStr">
        <is>
          <t>PwC 資誠</t>
        </is>
      </c>
      <c r="D294" s="11" t="inlineStr">
        <is>
          <t>黃珮娟</t>
        </is>
      </c>
      <c r="E294" s="10" t="inlineStr">
        <is>
          <t>台北總所</t>
        </is>
      </c>
      <c r="F294" s="12" t="inlineStr">
        <is>
          <t>台北市信義區基隆路一段333號27樓</t>
        </is>
      </c>
      <c r="G294" s="12" t="inlineStr">
        <is>
          <t>台北市信義區基隆路一段333號27樓</t>
        </is>
      </c>
      <c r="H294" s="12" t="inlineStr"/>
      <c r="I294" s="10" t="inlineStr">
        <is>
          <t>110/06/15</t>
        </is>
      </c>
      <c r="J294" s="11" t="inlineStr">
        <is>
          <t>全聯會一字第1100244</t>
        </is>
      </c>
      <c r="K294" s="10" t="inlineStr">
        <is>
          <t>北市</t>
        </is>
      </c>
      <c r="L294" s="10" t="inlineStr">
        <is>
          <t>110/06/15</t>
        </is>
      </c>
      <c r="M294" s="10" t="inlineStr">
        <is>
          <t>4347</t>
        </is>
      </c>
      <c r="N294" s="10" t="inlineStr">
        <is>
          <t>2026-06-05</t>
        </is>
      </c>
      <c r="O294" s="11" t="inlineStr">
        <is>
          <t>https://www.roccpa.org.tw/member_search/more?id=94A2E34D-D701-4D18-A3D2-021F25D1A4A0</t>
        </is>
      </c>
    </row>
    <row r="295">
      <c r="A295" s="10" t="n">
        <v>294</v>
      </c>
      <c r="B295" s="11" t="inlineStr">
        <is>
          <t>資誠聯合會計師事務所</t>
        </is>
      </c>
      <c r="C295" s="11" t="inlineStr">
        <is>
          <t>PwC 資誠</t>
        </is>
      </c>
      <c r="D295" s="11" t="inlineStr">
        <is>
          <t>黃金連</t>
        </is>
      </c>
      <c r="E295" s="10" t="inlineStr">
        <is>
          <t>台北總所</t>
        </is>
      </c>
      <c r="F295" s="12" t="inlineStr">
        <is>
          <t>台北市信義區基隆路一段333號27樓</t>
        </is>
      </c>
      <c r="G295" s="12" t="inlineStr">
        <is>
          <t>台北市信義區基隆路一段333號27樓</t>
        </is>
      </c>
      <c r="H295" s="12" t="inlineStr"/>
      <c r="I295" s="10" t="inlineStr">
        <is>
          <t>110/06/15</t>
        </is>
      </c>
      <c r="J295" s="11" t="inlineStr">
        <is>
          <t>全聯會一字第1100245</t>
        </is>
      </c>
      <c r="K295" s="10" t="inlineStr">
        <is>
          <t>北市</t>
        </is>
      </c>
      <c r="L295" s="10" t="inlineStr">
        <is>
          <t>110/06/15</t>
        </is>
      </c>
      <c r="M295" s="10" t="inlineStr">
        <is>
          <t>4348</t>
        </is>
      </c>
      <c r="N295" s="10" t="inlineStr">
        <is>
          <t>2026-06-05</t>
        </is>
      </c>
      <c r="O295" s="11" t="inlineStr">
        <is>
          <t>https://www.roccpa.org.tw/member_search/more?id=BD9D9B41-4C83-480D-ACE3-F3F5018D7EB1</t>
        </is>
      </c>
    </row>
    <row r="296">
      <c r="A296" s="10" t="n">
        <v>295</v>
      </c>
      <c r="B296" s="11" t="inlineStr">
        <is>
          <t>資誠聯合會計師事務所</t>
        </is>
      </c>
      <c r="C296" s="11" t="inlineStr">
        <is>
          <t>PwC 資誠</t>
        </is>
      </c>
      <c r="D296" s="11" t="inlineStr">
        <is>
          <t>吳偉豪</t>
        </is>
      </c>
      <c r="E296" s="10" t="inlineStr">
        <is>
          <t>桃園分所</t>
        </is>
      </c>
      <c r="F296" s="12" t="inlineStr">
        <is>
          <t>桃園市桃園區中正路1092號30樓</t>
        </is>
      </c>
      <c r="G296" s="12" t="inlineStr">
        <is>
          <t>台北市信義區基隆路一段333號27樓</t>
        </is>
      </c>
      <c r="H296" s="12" t="inlineStr">
        <is>
          <t>桃園市桃園區中正路1092號30樓</t>
        </is>
      </c>
      <c r="I296" s="10" t="inlineStr">
        <is>
          <t>108/07/01</t>
        </is>
      </c>
      <c r="J296" s="11" t="inlineStr">
        <is>
          <t>全聯會一字第1080241</t>
        </is>
      </c>
      <c r="K296" s="10" t="inlineStr">
        <is>
          <t>省</t>
        </is>
      </c>
      <c r="L296" s="10" t="inlineStr">
        <is>
          <t>108/07/01</t>
        </is>
      </c>
      <c r="M296" s="10" t="inlineStr">
        <is>
          <t>4693</t>
        </is>
      </c>
      <c r="N296" s="10" t="inlineStr">
        <is>
          <t>2026-06-05</t>
        </is>
      </c>
      <c r="O296" s="11" t="inlineStr">
        <is>
          <t>https://www.roccpa.org.tw/member_search/more?id=F5A3EB35-F466-49C3-B5B1-33AE198B9645</t>
        </is>
      </c>
    </row>
    <row r="297">
      <c r="A297" s="10" t="n">
        <v>296</v>
      </c>
      <c r="B297" s="11" t="inlineStr">
        <is>
          <t>資誠聯合會計師事務所</t>
        </is>
      </c>
      <c r="C297" s="11" t="inlineStr">
        <is>
          <t>PwC 資誠</t>
        </is>
      </c>
      <c r="D297" s="11" t="inlineStr">
        <is>
          <t>李燕娜</t>
        </is>
      </c>
      <c r="E297" s="10" t="inlineStr">
        <is>
          <t>桃園分所</t>
        </is>
      </c>
      <c r="F297" s="12" t="inlineStr">
        <is>
          <t>桃園市桃園區中正路1092號30樓</t>
        </is>
      </c>
      <c r="G297" s="12" t="inlineStr">
        <is>
          <t>台北市信義區基隆路一段333號27樓</t>
        </is>
      </c>
      <c r="H297" s="12" t="inlineStr">
        <is>
          <t>桃園市桃園區中正路1092號30樓</t>
        </is>
      </c>
      <c r="I297" s="10" t="inlineStr"/>
      <c r="J297" s="11" t="inlineStr"/>
      <c r="K297" s="10" t="inlineStr">
        <is>
          <t>北市</t>
        </is>
      </c>
      <c r="L297" s="10" t="inlineStr">
        <is>
          <t>095/04/26</t>
        </is>
      </c>
      <c r="M297" s="10" t="inlineStr">
        <is>
          <t>2848</t>
        </is>
      </c>
      <c r="N297" s="10" t="inlineStr">
        <is>
          <t>2026-06-05</t>
        </is>
      </c>
      <c r="O297" s="11" t="inlineStr">
        <is>
          <t>https://www.roccpa.org.tw/member_search/more?id=6A942A69-B837-49AB-BE76-A26DF5471A57</t>
        </is>
      </c>
    </row>
    <row r="298">
      <c r="A298" s="10" t="n">
        <v>297</v>
      </c>
      <c r="B298" s="11" t="inlineStr">
        <is>
          <t>資誠聯合會計師事務所</t>
        </is>
      </c>
      <c r="C298" s="11" t="inlineStr">
        <is>
          <t>PwC 資誠</t>
        </is>
      </c>
      <c r="D298" s="11" t="inlineStr">
        <is>
          <t>劉倩瑜</t>
        </is>
      </c>
      <c r="E298" s="10" t="inlineStr">
        <is>
          <t>新竹分所</t>
        </is>
      </c>
      <c r="F298" s="12" t="inlineStr">
        <is>
          <t>新竹市科學園區工業東三路2號5樓</t>
        </is>
      </c>
      <c r="G298" s="12" t="inlineStr">
        <is>
          <t>台北市信義區基隆路一段333號27樓</t>
        </is>
      </c>
      <c r="H298" s="12" t="inlineStr">
        <is>
          <t>新竹市科學園區工業東三路2號5樓</t>
        </is>
      </c>
      <c r="I298" s="10" t="inlineStr">
        <is>
          <t>109/07/01</t>
        </is>
      </c>
      <c r="J298" s="11" t="inlineStr">
        <is>
          <t>全聯會一字第1090242</t>
        </is>
      </c>
      <c r="K298" s="10" t="inlineStr">
        <is>
          <t>省</t>
        </is>
      </c>
      <c r="L298" s="10" t="inlineStr">
        <is>
          <t>109/07/01</t>
        </is>
      </c>
      <c r="M298" s="10" t="inlineStr">
        <is>
          <t>4757</t>
        </is>
      </c>
      <c r="N298" s="10" t="inlineStr">
        <is>
          <t>2026-06-05</t>
        </is>
      </c>
      <c r="O298" s="11" t="inlineStr">
        <is>
          <t>https://www.roccpa.org.tw/member_search/more?id=40AD5C8E-EBBA-4252-9121-8A1DCE106CF1</t>
        </is>
      </c>
    </row>
    <row r="299">
      <c r="A299" s="10" t="n">
        <v>298</v>
      </c>
      <c r="B299" s="11" t="inlineStr">
        <is>
          <t>資誠聯合會計師事務所</t>
        </is>
      </c>
      <c r="C299" s="11" t="inlineStr">
        <is>
          <t>PwC 資誠</t>
        </is>
      </c>
      <c r="D299" s="11" t="inlineStr">
        <is>
          <t>周依潔</t>
        </is>
      </c>
      <c r="E299" s="10" t="inlineStr">
        <is>
          <t>新竹分所</t>
        </is>
      </c>
      <c r="F299" s="12" t="inlineStr">
        <is>
          <t>新竹市科學園區工業東三路2號5樓</t>
        </is>
      </c>
      <c r="G299" s="12" t="inlineStr">
        <is>
          <t>台北市信義區基隆路一段333號27樓</t>
        </is>
      </c>
      <c r="H299" s="12" t="inlineStr">
        <is>
          <t>新竹市科學園區工業東三路2號5樓</t>
        </is>
      </c>
      <c r="I299" s="10" t="inlineStr">
        <is>
          <t>114/07/01</t>
        </is>
      </c>
      <c r="J299" s="11" t="inlineStr">
        <is>
          <t>全聯會一字第1140000266號</t>
        </is>
      </c>
      <c r="K299" s="10" t="inlineStr">
        <is>
          <t>省</t>
        </is>
      </c>
      <c r="L299" s="10" t="inlineStr">
        <is>
          <t>114/07/01</t>
        </is>
      </c>
      <c r="M299" s="10" t="inlineStr">
        <is>
          <t>5138</t>
        </is>
      </c>
      <c r="N299" s="10" t="inlineStr">
        <is>
          <t>2026-06-05</t>
        </is>
      </c>
      <c r="O299" s="11" t="inlineStr">
        <is>
          <t>https://www.roccpa.org.tw/member_search/more?id=559EEA91-D664-4432-B9ED-C6E67F352312</t>
        </is>
      </c>
    </row>
    <row r="300">
      <c r="A300" s="10" t="n">
        <v>299</v>
      </c>
      <c r="B300" s="11" t="inlineStr">
        <is>
          <t>資誠聯合會計師事務所</t>
        </is>
      </c>
      <c r="C300" s="11" t="inlineStr">
        <is>
          <t>PwC 資誠</t>
        </is>
      </c>
      <c r="D300" s="11" t="inlineStr">
        <is>
          <t>張舒淳</t>
        </is>
      </c>
      <c r="E300" s="10" t="inlineStr">
        <is>
          <t>新竹分所</t>
        </is>
      </c>
      <c r="F300" s="12" t="inlineStr">
        <is>
          <t>新竹市科學園區工業東三路2號5樓</t>
        </is>
      </c>
      <c r="G300" s="12" t="inlineStr">
        <is>
          <t>台北市信義區基隆路一段333號27樓</t>
        </is>
      </c>
      <c r="H300" s="12" t="inlineStr">
        <is>
          <t>新竹市科學園區工業東三路2號5樓</t>
        </is>
      </c>
      <c r="I300" s="10" t="inlineStr">
        <is>
          <t>113/07/01</t>
        </is>
      </c>
      <c r="J300" s="11" t="inlineStr">
        <is>
          <t>全聯會一字第1130000310號</t>
        </is>
      </c>
      <c r="K300" s="10" t="inlineStr">
        <is>
          <t>省</t>
        </is>
      </c>
      <c r="L300" s="10" t="inlineStr">
        <is>
          <t>113/07/01</t>
        </is>
      </c>
      <c r="M300" s="10" t="inlineStr">
        <is>
          <t>5039</t>
        </is>
      </c>
      <c r="N300" s="10" t="inlineStr">
        <is>
          <t>2026-06-05</t>
        </is>
      </c>
      <c r="O300" s="11" t="inlineStr">
        <is>
          <t>https://www.roccpa.org.tw/member_search/more?id=98DB747E-B2A8-47D2-9030-6F9A102AB98A</t>
        </is>
      </c>
    </row>
    <row r="301">
      <c r="A301" s="10" t="n">
        <v>300</v>
      </c>
      <c r="B301" s="11" t="inlineStr">
        <is>
          <t>資誠聯合會計師事務所</t>
        </is>
      </c>
      <c r="C301" s="11" t="inlineStr">
        <is>
          <t>PwC 資誠</t>
        </is>
      </c>
      <c r="D301" s="11" t="inlineStr">
        <is>
          <t>李典易</t>
        </is>
      </c>
      <c r="E301" s="10" t="inlineStr">
        <is>
          <t>新竹分所</t>
        </is>
      </c>
      <c r="F301" s="12" t="inlineStr">
        <is>
          <t>新竹市科學園區工業東三路2號5樓</t>
        </is>
      </c>
      <c r="G301" s="12" t="inlineStr">
        <is>
          <t>台北市信義區基隆路一段333號27樓</t>
        </is>
      </c>
      <c r="H301" s="12" t="inlineStr">
        <is>
          <t>新竹市科學園區工業東三路2號5樓</t>
        </is>
      </c>
      <c r="I301" s="10" t="inlineStr">
        <is>
          <t>102/07/04</t>
        </is>
      </c>
      <c r="J301" s="11" t="inlineStr">
        <is>
          <t>全聯會一字第1020258</t>
        </is>
      </c>
      <c r="K301" s="10" t="inlineStr">
        <is>
          <t>省</t>
        </is>
      </c>
      <c r="L301" s="10" t="inlineStr">
        <is>
          <t>102/07/08</t>
        </is>
      </c>
      <c r="M301" s="10" t="inlineStr">
        <is>
          <t>4112</t>
        </is>
      </c>
      <c r="N301" s="10" t="inlineStr">
        <is>
          <t>2026-06-05</t>
        </is>
      </c>
      <c r="O301" s="11" t="inlineStr">
        <is>
          <t>https://www.roccpa.org.tw/member_search/more?id=CA8982CF-B881-4E9B-8E0B-408D9A81E2C2</t>
        </is>
      </c>
    </row>
    <row r="302">
      <c r="A302" s="10" t="n">
        <v>301</v>
      </c>
      <c r="B302" s="11" t="inlineStr">
        <is>
          <t>資誠聯合會計師事務所</t>
        </is>
      </c>
      <c r="C302" s="11" t="inlineStr">
        <is>
          <t>PwC 資誠</t>
        </is>
      </c>
      <c r="D302" s="11" t="inlineStr">
        <is>
          <t>江采燕</t>
        </is>
      </c>
      <c r="E302" s="10" t="inlineStr">
        <is>
          <t>新竹分所</t>
        </is>
      </c>
      <c r="F302" s="12" t="inlineStr">
        <is>
          <t>新竹市科學園區工業東三路2號5樓</t>
        </is>
      </c>
      <c r="G302" s="12" t="inlineStr">
        <is>
          <t>台北市信義區基隆路一段333號27樓</t>
        </is>
      </c>
      <c r="H302" s="12" t="inlineStr">
        <is>
          <t>新竹市科學園區工業東三路2號5樓</t>
        </is>
      </c>
      <c r="I302" s="10" t="inlineStr">
        <is>
          <t>106/06/01</t>
        </is>
      </c>
      <c r="J302" s="11" t="inlineStr">
        <is>
          <t>全聯會一字第1060205</t>
        </is>
      </c>
      <c r="K302" s="10" t="inlineStr">
        <is>
          <t>省</t>
        </is>
      </c>
      <c r="L302" s="10" t="inlineStr">
        <is>
          <t>106/06/20</t>
        </is>
      </c>
      <c r="M302" s="10" t="inlineStr">
        <is>
          <t>4579</t>
        </is>
      </c>
      <c r="N302" s="10" t="inlineStr">
        <is>
          <t>2026-06-05</t>
        </is>
      </c>
      <c r="O302" s="11" t="inlineStr">
        <is>
          <t>https://www.roccpa.org.tw/member_search/more?id=7591CC23-D65D-4974-9203-A496CF1FAA83</t>
        </is>
      </c>
    </row>
    <row r="303">
      <c r="A303" s="10" t="n">
        <v>302</v>
      </c>
      <c r="B303" s="11" t="inlineStr">
        <is>
          <t>資誠聯合會計師事務所</t>
        </is>
      </c>
      <c r="C303" s="11" t="inlineStr">
        <is>
          <t>PwC 資誠</t>
        </is>
      </c>
      <c r="D303" s="11" t="inlineStr">
        <is>
          <t>白淑蒨</t>
        </is>
      </c>
      <c r="E303" s="10" t="inlineStr">
        <is>
          <t>新竹分所</t>
        </is>
      </c>
      <c r="F303" s="12" t="inlineStr">
        <is>
          <t>新竹市科學園區工業東三路2號5樓</t>
        </is>
      </c>
      <c r="G303" s="12" t="inlineStr">
        <is>
          <t>台北市信義區基隆路一段333號27樓</t>
        </is>
      </c>
      <c r="H303" s="12" t="inlineStr">
        <is>
          <t>新竹市科學園區工業東三路2號5樓</t>
        </is>
      </c>
      <c r="I303" s="10" t="inlineStr">
        <is>
          <t>111/07/01</t>
        </is>
      </c>
      <c r="J303" s="11" t="inlineStr">
        <is>
          <t>全聯會一字第1110253</t>
        </is>
      </c>
      <c r="K303" s="10" t="inlineStr">
        <is>
          <t>省</t>
        </is>
      </c>
      <c r="L303" s="10" t="inlineStr">
        <is>
          <t>111/07/01</t>
        </is>
      </c>
      <c r="M303" s="10" t="inlineStr">
        <is>
          <t>4895</t>
        </is>
      </c>
      <c r="N303" s="10" t="inlineStr">
        <is>
          <t>2026-06-05</t>
        </is>
      </c>
      <c r="O303" s="11" t="inlineStr">
        <is>
          <t>https://www.roccpa.org.tw/member_search/more?id=960426C3-CA18-4083-A920-52BBB5956B79</t>
        </is>
      </c>
    </row>
    <row r="304">
      <c r="A304" s="10" t="n">
        <v>303</v>
      </c>
      <c r="B304" s="11" t="inlineStr">
        <is>
          <t>資誠聯合會計師事務所</t>
        </is>
      </c>
      <c r="C304" s="11" t="inlineStr">
        <is>
          <t>PwC 資誠</t>
        </is>
      </c>
      <c r="D304" s="11" t="inlineStr">
        <is>
          <t>莊哲懿</t>
        </is>
      </c>
      <c r="E304" s="10" t="inlineStr">
        <is>
          <t>新竹分所</t>
        </is>
      </c>
      <c r="F304" s="12" t="inlineStr">
        <is>
          <t>新竹市科學園區工業東三路2號5樓</t>
        </is>
      </c>
      <c r="G304" s="12" t="inlineStr">
        <is>
          <t>台北市信義區基隆路一段333號27樓</t>
        </is>
      </c>
      <c r="H304" s="12" t="inlineStr">
        <is>
          <t>新竹市科學園區工業東三路2號5樓</t>
        </is>
      </c>
      <c r="I304" s="10" t="inlineStr">
        <is>
          <t>115/07/01</t>
        </is>
      </c>
      <c r="J304" s="11" t="inlineStr">
        <is>
          <t>全聯會一字第1150000321號</t>
        </is>
      </c>
      <c r="K304" s="10" t="inlineStr">
        <is>
          <t>省</t>
        </is>
      </c>
      <c r="L304" s="10" t="inlineStr">
        <is>
          <t>115/07/01</t>
        </is>
      </c>
      <c r="M304" s="10" t="inlineStr">
        <is>
          <t>5408</t>
        </is>
      </c>
      <c r="N304" s="10" t="inlineStr">
        <is>
          <t>2026-07-06</t>
        </is>
      </c>
      <c r="O304" s="11" t="inlineStr">
        <is>
          <t>https://www.roccpa.org.tw/member_search/more?id=cf8953ff9e574e9789de1bd46e7059fd</t>
        </is>
      </c>
    </row>
    <row r="305">
      <c r="A305" s="10" t="n">
        <v>304</v>
      </c>
      <c r="B305" s="11" t="inlineStr">
        <is>
          <t>資誠聯合會計師事務所</t>
        </is>
      </c>
      <c r="C305" s="11" t="inlineStr">
        <is>
          <t>PwC 資誠</t>
        </is>
      </c>
      <c r="D305" s="11" t="inlineStr">
        <is>
          <t>蔡欣怡</t>
        </is>
      </c>
      <c r="E305" s="10" t="inlineStr">
        <is>
          <t>新竹分所</t>
        </is>
      </c>
      <c r="F305" s="12" t="inlineStr">
        <is>
          <t>新竹市科學園區工業東三路2號5樓</t>
        </is>
      </c>
      <c r="G305" s="12" t="inlineStr">
        <is>
          <t>台北市信義區基隆路一段333號27樓</t>
        </is>
      </c>
      <c r="H305" s="12" t="inlineStr">
        <is>
          <t>新竹市科學園區工業東三路2號5樓</t>
        </is>
      </c>
      <c r="I305" s="10" t="inlineStr">
        <is>
          <t>114/07/01</t>
        </is>
      </c>
      <c r="J305" s="11" t="inlineStr">
        <is>
          <t>全聯會一字第1140000265號</t>
        </is>
      </c>
      <c r="K305" s="10" t="inlineStr">
        <is>
          <t>省</t>
        </is>
      </c>
      <c r="L305" s="10" t="inlineStr">
        <is>
          <t>114/07/01</t>
        </is>
      </c>
      <c r="M305" s="10" t="inlineStr">
        <is>
          <t>5137</t>
        </is>
      </c>
      <c r="N305" s="10" t="inlineStr">
        <is>
          <t>2026-06-05</t>
        </is>
      </c>
      <c r="O305" s="11" t="inlineStr">
        <is>
          <t>https://www.roccpa.org.tw/member_search/more?id=1DE8DF84-2EA9-4F24-BEE1-8A9209900BE4</t>
        </is>
      </c>
    </row>
    <row r="306">
      <c r="A306" s="10" t="n">
        <v>305</v>
      </c>
      <c r="B306" s="11" t="inlineStr">
        <is>
          <t>資誠聯合會計師事務所</t>
        </is>
      </c>
      <c r="C306" s="11" t="inlineStr">
        <is>
          <t>PwC 資誠</t>
        </is>
      </c>
      <c r="D306" s="11" t="inlineStr">
        <is>
          <t>蔣承翰</t>
        </is>
      </c>
      <c r="E306" s="10" t="inlineStr">
        <is>
          <t>新竹分所</t>
        </is>
      </c>
      <c r="F306" s="12" t="inlineStr">
        <is>
          <t>新竹市科學園區工業東三路2號5樓</t>
        </is>
      </c>
      <c r="G306" s="12" t="inlineStr">
        <is>
          <t>台北市信義區基隆路一段333號27樓</t>
        </is>
      </c>
      <c r="H306" s="12" t="inlineStr">
        <is>
          <t>新竹市科學園區工業東三路2號5樓</t>
        </is>
      </c>
      <c r="I306" s="10" t="inlineStr">
        <is>
          <t>113/07/01</t>
        </is>
      </c>
      <c r="J306" s="11" t="inlineStr">
        <is>
          <t>全聯會一字第1130000311號</t>
        </is>
      </c>
      <c r="K306" s="10" t="inlineStr">
        <is>
          <t>省</t>
        </is>
      </c>
      <c r="L306" s="10" t="inlineStr">
        <is>
          <t>113/07/01</t>
        </is>
      </c>
      <c r="M306" s="10" t="inlineStr">
        <is>
          <t>5040</t>
        </is>
      </c>
      <c r="N306" s="10" t="inlineStr">
        <is>
          <t>2026-06-05</t>
        </is>
      </c>
      <c r="O306" s="11" t="inlineStr">
        <is>
          <t>https://www.roccpa.org.tw/member_search/more?id=8F12D4CD-2637-43EF-84BB-7765A351D424</t>
        </is>
      </c>
    </row>
    <row r="307">
      <c r="A307" s="10" t="n">
        <v>306</v>
      </c>
      <c r="B307" s="11" t="inlineStr">
        <is>
          <t>資誠聯合會計師事務所</t>
        </is>
      </c>
      <c r="C307" s="11" t="inlineStr">
        <is>
          <t>PwC 資誠</t>
        </is>
      </c>
      <c r="D307" s="11" t="inlineStr">
        <is>
          <t>鮑敦川</t>
        </is>
      </c>
      <c r="E307" s="10" t="inlineStr">
        <is>
          <t>新竹分所</t>
        </is>
      </c>
      <c r="F307" s="12" t="inlineStr">
        <is>
          <t>新竹市科學園區工業東三路2號5樓</t>
        </is>
      </c>
      <c r="G307" s="12" t="inlineStr">
        <is>
          <t>台北市信義區基隆路一段333號27樓</t>
        </is>
      </c>
      <c r="H307" s="12" t="inlineStr">
        <is>
          <t>新竹市科學園區工業東三路2號5樓</t>
        </is>
      </c>
      <c r="I307" s="10" t="inlineStr">
        <is>
          <t>111/07/01</t>
        </is>
      </c>
      <c r="J307" s="11" t="inlineStr">
        <is>
          <t>全聯會一字第1110252</t>
        </is>
      </c>
      <c r="K307" s="10" t="inlineStr">
        <is>
          <t>省</t>
        </is>
      </c>
      <c r="L307" s="10" t="inlineStr">
        <is>
          <t>111/07/01</t>
        </is>
      </c>
      <c r="M307" s="10" t="inlineStr">
        <is>
          <t>4894</t>
        </is>
      </c>
      <c r="N307" s="10" t="inlineStr">
        <is>
          <t>2026-06-05</t>
        </is>
      </c>
      <c r="O307" s="11" t="inlineStr">
        <is>
          <t>https://www.roccpa.org.tw/member_search/more?id=F7E20546-76E5-4136-90B1-67AF266F57B9</t>
        </is>
      </c>
    </row>
    <row r="308">
      <c r="A308" s="10" t="n">
        <v>307</v>
      </c>
      <c r="B308" s="11" t="inlineStr">
        <is>
          <t>資誠聯合會計師事務所</t>
        </is>
      </c>
      <c r="C308" s="11" t="inlineStr">
        <is>
          <t>PwC 資誠</t>
        </is>
      </c>
      <c r="D308" s="11" t="inlineStr">
        <is>
          <t>劉美蘭</t>
        </is>
      </c>
      <c r="E308" s="10" t="inlineStr">
        <is>
          <t>台中分所</t>
        </is>
      </c>
      <c r="F308" s="12" t="inlineStr">
        <is>
          <t>台中市西屯區市政路402號12樓</t>
        </is>
      </c>
      <c r="G308" s="12" t="inlineStr">
        <is>
          <t>台北市信義區基隆路一段333號27樓</t>
        </is>
      </c>
      <c r="H308" s="12" t="inlineStr">
        <is>
          <t>台中市西屯區市政路402號12樓</t>
        </is>
      </c>
      <c r="I308" s="10" t="inlineStr">
        <is>
          <t>107/06/01</t>
        </is>
      </c>
      <c r="J308" s="11" t="inlineStr">
        <is>
          <t>全聯會一字第1070230</t>
        </is>
      </c>
      <c r="K308" s="10" t="inlineStr">
        <is>
          <t>中市</t>
        </is>
      </c>
      <c r="L308" s="10" t="inlineStr">
        <is>
          <t>107/06/01</t>
        </is>
      </c>
      <c r="M308" s="10" t="inlineStr">
        <is>
          <t>953</t>
        </is>
      </c>
      <c r="N308" s="10" t="inlineStr">
        <is>
          <t>2026-06-05</t>
        </is>
      </c>
      <c r="O308" s="11" t="inlineStr">
        <is>
          <t>https://www.roccpa.org.tw/member_search/more?id=550443E3-38EA-4F3E-9C19-E70A23AFFEE3</t>
        </is>
      </c>
    </row>
    <row r="309">
      <c r="A309" s="10" t="n">
        <v>308</v>
      </c>
      <c r="B309" s="11" t="inlineStr">
        <is>
          <t>資誠聯合會計師事務所</t>
        </is>
      </c>
      <c r="C309" s="11" t="inlineStr">
        <is>
          <t>PwC 資誠</t>
        </is>
      </c>
      <c r="D309" s="11" t="inlineStr">
        <is>
          <t>吳松源</t>
        </is>
      </c>
      <c r="E309" s="10" t="inlineStr">
        <is>
          <t>台中分所</t>
        </is>
      </c>
      <c r="F309" s="12" t="inlineStr">
        <is>
          <t>台中市西屯區市政路402號12樓</t>
        </is>
      </c>
      <c r="G309" s="12" t="inlineStr">
        <is>
          <t>台北市信義區基隆路一段333號27樓</t>
        </is>
      </c>
      <c r="H309" s="12" t="inlineStr">
        <is>
          <t>台中市西屯區市政路402號12樓</t>
        </is>
      </c>
      <c r="I309" s="10" t="inlineStr">
        <is>
          <t>109/07/01</t>
        </is>
      </c>
      <c r="J309" s="11" t="inlineStr">
        <is>
          <t>全聯會一字第1090243</t>
        </is>
      </c>
      <c r="K309" s="10" t="inlineStr">
        <is>
          <t>中市</t>
        </is>
      </c>
      <c r="L309" s="10" t="inlineStr">
        <is>
          <t>109/07/01</t>
        </is>
      </c>
      <c r="M309" s="10" t="inlineStr">
        <is>
          <t>1004</t>
        </is>
      </c>
      <c r="N309" s="10" t="inlineStr">
        <is>
          <t>2026-06-05</t>
        </is>
      </c>
      <c r="O309" s="11" t="inlineStr">
        <is>
          <t>https://www.roccpa.org.tw/member_search/more?id=8C2EDFFB-A3B3-4A9D-9007-1EEEBE1D7846</t>
        </is>
      </c>
    </row>
    <row r="310">
      <c r="A310" s="10" t="n">
        <v>309</v>
      </c>
      <c r="B310" s="11" t="inlineStr">
        <is>
          <t>資誠聯合會計師事務所</t>
        </is>
      </c>
      <c r="C310" s="11" t="inlineStr">
        <is>
          <t>PwC 資誠</t>
        </is>
      </c>
      <c r="D310" s="11" t="inlineStr">
        <is>
          <t>徐建業</t>
        </is>
      </c>
      <c r="E310" s="10" t="inlineStr">
        <is>
          <t>台中分所</t>
        </is>
      </c>
      <c r="F310" s="12" t="inlineStr">
        <is>
          <t>台中市西屯區市政路402號12樓</t>
        </is>
      </c>
      <c r="G310" s="12" t="inlineStr">
        <is>
          <t>台北市信義區基隆路一段333號27樓</t>
        </is>
      </c>
      <c r="H310" s="12" t="inlineStr">
        <is>
          <t>台中市西屯區市政路402號12樓</t>
        </is>
      </c>
      <c r="I310" s="10" t="inlineStr">
        <is>
          <t>105/06/22</t>
        </is>
      </c>
      <c r="J310" s="11" t="inlineStr">
        <is>
          <t>全聯會一字第1050270</t>
        </is>
      </c>
      <c r="K310" s="10" t="inlineStr">
        <is>
          <t>中市</t>
        </is>
      </c>
      <c r="L310" s="10" t="inlineStr">
        <is>
          <t>105/07/19</t>
        </is>
      </c>
      <c r="M310" s="10" t="inlineStr">
        <is>
          <t>911</t>
        </is>
      </c>
      <c r="N310" s="10" t="inlineStr">
        <is>
          <t>2026-06-05</t>
        </is>
      </c>
      <c r="O310" s="11" t="inlineStr">
        <is>
          <t>https://www.roccpa.org.tw/member_search/more?id=1F543B59-0718-4F3B-B660-524682C299D4</t>
        </is>
      </c>
    </row>
    <row r="311">
      <c r="A311" s="10" t="n">
        <v>310</v>
      </c>
      <c r="B311" s="11" t="inlineStr">
        <is>
          <t>資誠聯合會計師事務所</t>
        </is>
      </c>
      <c r="C311" s="11" t="inlineStr">
        <is>
          <t>PwC 資誠</t>
        </is>
      </c>
      <c r="D311" s="11" t="inlineStr">
        <is>
          <t>施松伯</t>
        </is>
      </c>
      <c r="E311" s="10" t="inlineStr">
        <is>
          <t>台中分所</t>
        </is>
      </c>
      <c r="F311" s="12" t="inlineStr">
        <is>
          <t>台中市西屯區市政路402號12樓</t>
        </is>
      </c>
      <c r="G311" s="12" t="inlineStr">
        <is>
          <t>台北市信義區基隆路一段333號27樓</t>
        </is>
      </c>
      <c r="H311" s="12" t="inlineStr">
        <is>
          <t>台中市西屯區市政路402號12樓</t>
        </is>
      </c>
      <c r="I311" s="10" t="inlineStr">
        <is>
          <t>113/07/01</t>
        </is>
      </c>
      <c r="J311" s="11" t="inlineStr">
        <is>
          <t>全聯會一字第1130000312號</t>
        </is>
      </c>
      <c r="K311" s="10" t="inlineStr">
        <is>
          <t>中市</t>
        </is>
      </c>
      <c r="L311" s="10" t="inlineStr">
        <is>
          <t>113/07/01</t>
        </is>
      </c>
      <c r="M311" s="10" t="inlineStr">
        <is>
          <t>1115</t>
        </is>
      </c>
      <c r="N311" s="10" t="inlineStr">
        <is>
          <t>2026-06-05</t>
        </is>
      </c>
      <c r="O311" s="11" t="inlineStr">
        <is>
          <t>https://www.roccpa.org.tw/member_search/more?id=70BEE8C6-E363-44AA-9413-834DCF3B6189</t>
        </is>
      </c>
    </row>
    <row r="312">
      <c r="A312" s="10" t="n">
        <v>311</v>
      </c>
      <c r="B312" s="11" t="inlineStr">
        <is>
          <t>資誠聯合會計師事務所</t>
        </is>
      </c>
      <c r="C312" s="11" t="inlineStr">
        <is>
          <t>PwC 資誠</t>
        </is>
      </c>
      <c r="D312" s="11" t="inlineStr">
        <is>
          <t>李佩璇</t>
        </is>
      </c>
      <c r="E312" s="10" t="inlineStr">
        <is>
          <t>台中分所</t>
        </is>
      </c>
      <c r="F312" s="12" t="inlineStr">
        <is>
          <t>台中市西屯區市政路402號12樓</t>
        </is>
      </c>
      <c r="G312" s="12" t="inlineStr">
        <is>
          <t>台北市信義區基隆路一段333號27樓</t>
        </is>
      </c>
      <c r="H312" s="12" t="inlineStr">
        <is>
          <t>台中市西屯區市政路402號12樓</t>
        </is>
      </c>
      <c r="I312" s="10" t="inlineStr">
        <is>
          <t>099/07/09</t>
        </is>
      </c>
      <c r="J312" s="11" t="inlineStr">
        <is>
          <t>全聯會一字第09900320</t>
        </is>
      </c>
      <c r="K312" s="10" t="inlineStr">
        <is>
          <t>中市</t>
        </is>
      </c>
      <c r="L312" s="10" t="inlineStr">
        <is>
          <t>100/12/23</t>
        </is>
      </c>
      <c r="M312" s="10" t="inlineStr">
        <is>
          <t>262</t>
        </is>
      </c>
      <c r="N312" s="10" t="inlineStr">
        <is>
          <t>2026-06-05</t>
        </is>
      </c>
      <c r="O312" s="11" t="inlineStr">
        <is>
          <t>https://www.roccpa.org.tw/member_search/more?id=91F9384E-725F-4AB1-A465-377964685FBA</t>
        </is>
      </c>
    </row>
    <row r="313">
      <c r="A313" s="10" t="n">
        <v>312</v>
      </c>
      <c r="B313" s="11" t="inlineStr">
        <is>
          <t>資誠聯合會計師事務所</t>
        </is>
      </c>
      <c r="C313" s="11" t="inlineStr">
        <is>
          <t>PwC 資誠</t>
        </is>
      </c>
      <c r="D313" s="11" t="inlineStr">
        <is>
          <t>王玉娟</t>
        </is>
      </c>
      <c r="E313" s="10" t="inlineStr">
        <is>
          <t>台中分所</t>
        </is>
      </c>
      <c r="F313" s="12" t="inlineStr">
        <is>
          <t>台中市西屯區市政路402號12樓</t>
        </is>
      </c>
      <c r="G313" s="12" t="inlineStr">
        <is>
          <t>台北市信義區基隆路一段333號27樓</t>
        </is>
      </c>
      <c r="H313" s="12" t="inlineStr">
        <is>
          <t>台中市西屯區市政路402號12樓</t>
        </is>
      </c>
      <c r="I313" s="10" t="inlineStr">
        <is>
          <t>102/07/04</t>
        </is>
      </c>
      <c r="J313" s="11" t="inlineStr">
        <is>
          <t>全聯會一字第1020257</t>
        </is>
      </c>
      <c r="K313" s="10" t="inlineStr">
        <is>
          <t>中市</t>
        </is>
      </c>
      <c r="L313" s="10" t="inlineStr">
        <is>
          <t>102/07/04</t>
        </is>
      </c>
      <c r="M313" s="10" t="inlineStr">
        <is>
          <t>635</t>
        </is>
      </c>
      <c r="N313" s="10" t="inlineStr">
        <is>
          <t>2026-06-05</t>
        </is>
      </c>
      <c r="O313" s="11" t="inlineStr">
        <is>
          <t>https://www.roccpa.org.tw/member_search/more?id=C93A5255-71CD-423C-B414-46AC93FDAB54</t>
        </is>
      </c>
    </row>
    <row r="314">
      <c r="A314" s="10" t="n">
        <v>313</v>
      </c>
      <c r="B314" s="11" t="inlineStr">
        <is>
          <t>資誠聯合會計師事務所</t>
        </is>
      </c>
      <c r="C314" s="11" t="inlineStr">
        <is>
          <t>PwC 資誠</t>
        </is>
      </c>
      <c r="D314" s="11" t="inlineStr">
        <is>
          <t>賴志維</t>
        </is>
      </c>
      <c r="E314" s="10" t="inlineStr">
        <is>
          <t>台中分所</t>
        </is>
      </c>
      <c r="F314" s="12" t="inlineStr">
        <is>
          <t>台中市西屯區市政路402號12樓</t>
        </is>
      </c>
      <c r="G314" s="12" t="inlineStr">
        <is>
          <t>台北市信義區基隆路一段333號27樓</t>
        </is>
      </c>
      <c r="H314" s="12" t="inlineStr">
        <is>
          <t>台中市西屯區市政路402號12樓</t>
        </is>
      </c>
      <c r="I314" s="10" t="inlineStr">
        <is>
          <t>112/06/15</t>
        </is>
      </c>
      <c r="J314" s="11" t="inlineStr">
        <is>
          <t>全聯會一字第1120241</t>
        </is>
      </c>
      <c r="K314" s="10" t="inlineStr">
        <is>
          <t>中市</t>
        </is>
      </c>
      <c r="L314" s="10" t="inlineStr">
        <is>
          <t>112/06/15</t>
        </is>
      </c>
      <c r="M314" s="10" t="inlineStr">
        <is>
          <t>1089</t>
        </is>
      </c>
      <c r="N314" s="10" t="inlineStr">
        <is>
          <t>2026-06-05</t>
        </is>
      </c>
      <c r="O314" s="11" t="inlineStr">
        <is>
          <t>https://www.roccpa.org.tw/member_search/more?id=EEBA8CF1-C3B8-4ACF-BFC1-2135F61936BF</t>
        </is>
      </c>
    </row>
    <row r="315">
      <c r="A315" s="10" t="n">
        <v>314</v>
      </c>
      <c r="B315" s="11" t="inlineStr">
        <is>
          <t>資誠聯合會計師事務所</t>
        </is>
      </c>
      <c r="C315" s="11" t="inlineStr">
        <is>
          <t>PwC 資誠</t>
        </is>
      </c>
      <c r="D315" s="11" t="inlineStr">
        <is>
          <t>葉芳婷</t>
        </is>
      </c>
      <c r="E315" s="10" t="inlineStr">
        <is>
          <t>台南分所</t>
        </is>
      </c>
      <c r="F315" s="12" t="inlineStr">
        <is>
          <t>台南市新市區南科三路17號2樓之1C室</t>
        </is>
      </c>
      <c r="G315" s="12" t="inlineStr">
        <is>
          <t>台北市信義區基隆路一段333號27樓</t>
        </is>
      </c>
      <c r="H315" s="12" t="inlineStr">
        <is>
          <t>台南市新市區南科三路17號2樓之1C室</t>
        </is>
      </c>
      <c r="I315" s="10" t="inlineStr">
        <is>
          <t>111/07/01</t>
        </is>
      </c>
      <c r="J315" s="11" t="inlineStr">
        <is>
          <t>全聯會一字第1110251</t>
        </is>
      </c>
      <c r="K315" s="10" t="inlineStr">
        <is>
          <t>省</t>
        </is>
      </c>
      <c r="L315" s="10" t="inlineStr">
        <is>
          <t>111/07/01</t>
        </is>
      </c>
      <c r="M315" s="10" t="inlineStr">
        <is>
          <t>4893</t>
        </is>
      </c>
      <c r="N315" s="10" t="inlineStr">
        <is>
          <t>2026-06-05</t>
        </is>
      </c>
      <c r="O315" s="11" t="inlineStr">
        <is>
          <t>https://www.roccpa.org.tw/member_search/more?id=D7661BD8-F928-4F7F-91B3-8D7B405C25E7</t>
        </is>
      </c>
    </row>
    <row r="316">
      <c r="A316" s="10" t="n">
        <v>315</v>
      </c>
      <c r="B316" s="11" t="inlineStr">
        <is>
          <t>資誠聯合會計師事務所</t>
        </is>
      </c>
      <c r="C316" s="11" t="inlineStr">
        <is>
          <t>PwC 資誠</t>
        </is>
      </c>
      <c r="D316" s="11" t="inlineStr">
        <is>
          <t>徐惠榆</t>
        </is>
      </c>
      <c r="E316" s="10" t="inlineStr">
        <is>
          <t>台南分所</t>
        </is>
      </c>
      <c r="F316" s="12" t="inlineStr">
        <is>
          <t>台南市東區林森路一段395號12樓</t>
        </is>
      </c>
      <c r="G316" s="12" t="inlineStr">
        <is>
          <t>台北市信義區基隆路一段333號27樓</t>
        </is>
      </c>
      <c r="H316" s="12" t="inlineStr">
        <is>
          <t>台南市東區林森路一段395號12樓</t>
        </is>
      </c>
      <c r="I316" s="10" t="inlineStr">
        <is>
          <t>112/06/15</t>
        </is>
      </c>
      <c r="J316" s="11" t="inlineStr">
        <is>
          <t>全聯會一字第1120232</t>
        </is>
      </c>
      <c r="K316" s="10" t="inlineStr">
        <is>
          <t>省</t>
        </is>
      </c>
      <c r="L316" s="10" t="inlineStr">
        <is>
          <t>112/06/15</t>
        </is>
      </c>
      <c r="M316" s="10" t="inlineStr">
        <is>
          <t>4979</t>
        </is>
      </c>
      <c r="N316" s="10" t="inlineStr">
        <is>
          <t>2026-06-05</t>
        </is>
      </c>
      <c r="O316" s="11" t="inlineStr">
        <is>
          <t>https://www.roccpa.org.tw/member_search/more?id=BD5A382B-C934-46AD-9B0E-B0FF3139E9BC</t>
        </is>
      </c>
    </row>
    <row r="317">
      <c r="A317" s="10" t="n">
        <v>316</v>
      </c>
      <c r="B317" s="11" t="inlineStr">
        <is>
          <t>資誠聯合會計師事務所</t>
        </is>
      </c>
      <c r="C317" s="11" t="inlineStr">
        <is>
          <t>PwC 資誠</t>
        </is>
      </c>
      <c r="D317" s="11" t="inlineStr">
        <is>
          <t>李蕙華</t>
        </is>
      </c>
      <c r="E317" s="10" t="inlineStr">
        <is>
          <t>台南分所</t>
        </is>
      </c>
      <c r="F317" s="12" t="inlineStr">
        <is>
          <t>台南市東區林森路一段395號12樓</t>
        </is>
      </c>
      <c r="G317" s="12" t="inlineStr">
        <is>
          <t>台北市信義區基隆路一段333號27樓</t>
        </is>
      </c>
      <c r="H317" s="12" t="inlineStr">
        <is>
          <t>台南市東區林森路一段395號12樓</t>
        </is>
      </c>
      <c r="I317" s="10" t="inlineStr">
        <is>
          <t>115/07/01</t>
        </is>
      </c>
      <c r="J317" s="11" t="inlineStr">
        <is>
          <t>全聯會一字第1150000322號</t>
        </is>
      </c>
      <c r="K317" s="10" t="inlineStr">
        <is>
          <t>省</t>
        </is>
      </c>
      <c r="L317" s="10" t="inlineStr">
        <is>
          <t>115/07/01</t>
        </is>
      </c>
      <c r="M317" s="10" t="inlineStr">
        <is>
          <t>5409</t>
        </is>
      </c>
      <c r="N317" s="10" t="inlineStr">
        <is>
          <t>2026-07-06</t>
        </is>
      </c>
      <c r="O317" s="11" t="inlineStr">
        <is>
          <t>https://www.roccpa.org.tw/member_search/more?id=192854c0b6144efd894972180f72a4bd</t>
        </is>
      </c>
    </row>
    <row r="318">
      <c r="A318" s="10" t="n">
        <v>317</v>
      </c>
      <c r="B318" s="11" t="inlineStr">
        <is>
          <t>資誠聯合會計師事務所</t>
        </is>
      </c>
      <c r="C318" s="11" t="inlineStr">
        <is>
          <t>PwC 資誠</t>
        </is>
      </c>
      <c r="D318" s="11" t="inlineStr">
        <is>
          <t>田中玉</t>
        </is>
      </c>
      <c r="E318" s="10" t="inlineStr">
        <is>
          <t>台南分所</t>
        </is>
      </c>
      <c r="F318" s="12" t="inlineStr">
        <is>
          <t>台南市東區林森路一段395號12樓</t>
        </is>
      </c>
      <c r="G318" s="12" t="inlineStr">
        <is>
          <t>台北市信義區基隆路一段333號27樓</t>
        </is>
      </c>
      <c r="H318" s="12" t="inlineStr">
        <is>
          <t>台南市東區林森路一段395號12樓</t>
        </is>
      </c>
      <c r="I318" s="10" t="inlineStr">
        <is>
          <t>107/06/01</t>
        </is>
      </c>
      <c r="J318" s="11" t="inlineStr">
        <is>
          <t>全聯會一字第1070224</t>
        </is>
      </c>
      <c r="K318" s="10" t="inlineStr">
        <is>
          <t>省</t>
        </is>
      </c>
      <c r="L318" s="10" t="inlineStr">
        <is>
          <t>107/06/01</t>
        </is>
      </c>
      <c r="M318" s="10" t="inlineStr">
        <is>
          <t>4637</t>
        </is>
      </c>
      <c r="N318" s="10" t="inlineStr">
        <is>
          <t>2026-06-05</t>
        </is>
      </c>
      <c r="O318" s="11" t="inlineStr">
        <is>
          <t>https://www.roccpa.org.tw/member_search/more?id=0E36C662-A921-4A8A-A520-7A92C3B91E7E</t>
        </is>
      </c>
    </row>
    <row r="319">
      <c r="A319" s="10" t="n">
        <v>318</v>
      </c>
      <c r="B319" s="11" t="inlineStr">
        <is>
          <t>資誠聯合會計師事務所</t>
        </is>
      </c>
      <c r="C319" s="11" t="inlineStr">
        <is>
          <t>PwC 資誠</t>
        </is>
      </c>
      <c r="D319" s="11" t="inlineStr">
        <is>
          <t>林秀珊</t>
        </is>
      </c>
      <c r="E319" s="10" t="inlineStr">
        <is>
          <t>高雄分所</t>
        </is>
      </c>
      <c r="F319" s="12" t="inlineStr">
        <is>
          <t>高雄市新興區民族二路95號22樓</t>
        </is>
      </c>
      <c r="G319" s="12" t="inlineStr">
        <is>
          <t>台北市信義區基隆路一段333號27樓</t>
        </is>
      </c>
      <c r="H319" s="12" t="inlineStr">
        <is>
          <t>高雄市新興區民族二路95號22樓</t>
        </is>
      </c>
      <c r="I319" s="10" t="inlineStr">
        <is>
          <t>114/07/01</t>
        </is>
      </c>
      <c r="J319" s="11" t="inlineStr">
        <is>
          <t>全聯會一字第1140000272號</t>
        </is>
      </c>
      <c r="K319" s="10" t="inlineStr">
        <is>
          <t>高市</t>
        </is>
      </c>
      <c r="L319" s="10" t="inlineStr">
        <is>
          <t>114/07/01</t>
        </is>
      </c>
      <c r="M319" s="10" t="inlineStr">
        <is>
          <t>1163</t>
        </is>
      </c>
      <c r="N319" s="10" t="inlineStr">
        <is>
          <t>2026-06-05</t>
        </is>
      </c>
      <c r="O319" s="11" t="inlineStr">
        <is>
          <t>https://www.roccpa.org.tw/member_search/more?id=1D3EB595-4109-42D6-9A0E-9F7EC41D6613</t>
        </is>
      </c>
    </row>
    <row r="320">
      <c r="A320" s="10" t="n">
        <v>319</v>
      </c>
      <c r="B320" s="11" t="inlineStr">
        <is>
          <t>資誠聯合會計師事務所</t>
        </is>
      </c>
      <c r="C320" s="11" t="inlineStr">
        <is>
          <t>PwC 資誠</t>
        </is>
      </c>
      <c r="D320" s="11" t="inlineStr">
        <is>
          <t>王駿凱</t>
        </is>
      </c>
      <c r="E320" s="10" t="inlineStr">
        <is>
          <t>高雄分所</t>
        </is>
      </c>
      <c r="F320" s="12" t="inlineStr">
        <is>
          <t>高雄市新興區民族二路95號22樓</t>
        </is>
      </c>
      <c r="G320" s="12" t="inlineStr">
        <is>
          <t>台北市信義區基隆路一段333號27樓</t>
        </is>
      </c>
      <c r="H320" s="12" t="inlineStr">
        <is>
          <t>高雄市新興區民族二路95號22樓</t>
        </is>
      </c>
      <c r="I320" s="10" t="inlineStr">
        <is>
          <t>111/07/01</t>
        </is>
      </c>
      <c r="J320" s="11" t="inlineStr">
        <is>
          <t>全聯會一字第1110260</t>
        </is>
      </c>
      <c r="K320" s="10" t="inlineStr">
        <is>
          <t>高市</t>
        </is>
      </c>
      <c r="L320" s="10" t="inlineStr">
        <is>
          <t>111/07/01</t>
        </is>
      </c>
      <c r="M320" s="10" t="inlineStr">
        <is>
          <t>1093</t>
        </is>
      </c>
      <c r="N320" s="10" t="inlineStr">
        <is>
          <t>2026-06-05</t>
        </is>
      </c>
      <c r="O320" s="11" t="inlineStr">
        <is>
          <t>https://www.roccpa.org.tw/member_search/more?id=32D11EDF-EB07-46BF-A0FE-3FAE87539D39</t>
        </is>
      </c>
    </row>
    <row r="321">
      <c r="A321" s="10" t="n">
        <v>320</v>
      </c>
      <c r="B321" s="11" t="inlineStr">
        <is>
          <t>資誠聯合會計師事務所</t>
        </is>
      </c>
      <c r="C321" s="11" t="inlineStr">
        <is>
          <t>PwC 資誠</t>
        </is>
      </c>
      <c r="D321" s="11" t="inlineStr">
        <is>
          <t>陳筱娟</t>
        </is>
      </c>
      <c r="E321" s="10" t="inlineStr">
        <is>
          <t>高雄分所</t>
        </is>
      </c>
      <c r="F321" s="12" t="inlineStr">
        <is>
          <t>高雄市新興區民族二路95號22樓</t>
        </is>
      </c>
      <c r="G321" s="12" t="inlineStr">
        <is>
          <t>台北市信義區基隆路一段333號27樓</t>
        </is>
      </c>
      <c r="H321" s="12" t="inlineStr">
        <is>
          <t>高雄市新興區民族二路95號22樓</t>
        </is>
      </c>
      <c r="I321" s="10" t="inlineStr">
        <is>
          <t>108/07/01</t>
        </is>
      </c>
      <c r="J321" s="11" t="inlineStr">
        <is>
          <t>全聯會一字第1080242</t>
        </is>
      </c>
      <c r="K321" s="10" t="inlineStr">
        <is>
          <t>高市</t>
        </is>
      </c>
      <c r="L321" s="10" t="inlineStr">
        <is>
          <t>108/07/01</t>
        </is>
      </c>
      <c r="M321" s="10" t="inlineStr">
        <is>
          <t>1048</t>
        </is>
      </c>
      <c r="N321" s="10" t="inlineStr">
        <is>
          <t>2026-06-05</t>
        </is>
      </c>
      <c r="O321" s="11" t="inlineStr">
        <is>
          <t>https://www.roccpa.org.tw/member_search/more?id=AAE82782-3AF0-43F5-8A56-6BE46283FA27</t>
        </is>
      </c>
    </row>
    <row r="322">
      <c r="A322" s="10" t="n">
        <v>321</v>
      </c>
      <c r="B322" s="11" t="inlineStr">
        <is>
          <t>安侯建業聯合會計師事務所</t>
        </is>
      </c>
      <c r="C322" s="11" t="inlineStr">
        <is>
          <t>KPMG 安侯建業</t>
        </is>
      </c>
      <c r="D322" s="11" t="inlineStr">
        <is>
          <t>丁傳倫</t>
        </is>
      </c>
      <c r="E322" s="10" t="inlineStr">
        <is>
          <t>台北總所</t>
        </is>
      </c>
      <c r="F322" s="12" t="inlineStr">
        <is>
          <t>台北市信義區信義路五段7號68樓</t>
        </is>
      </c>
      <c r="G322" s="12" t="inlineStr">
        <is>
          <t>台北市信義區信義路五段7號68樓</t>
        </is>
      </c>
      <c r="H322" s="12" t="inlineStr"/>
      <c r="I322" s="10" t="inlineStr">
        <is>
          <t>109/07/06</t>
        </is>
      </c>
      <c r="J322" s="11" t="inlineStr">
        <is>
          <t>全聯會一字第1090245</t>
        </is>
      </c>
      <c r="K322" s="10" t="inlineStr">
        <is>
          <t>北市</t>
        </is>
      </c>
      <c r="L322" s="10" t="inlineStr">
        <is>
          <t>109/07/06</t>
        </is>
      </c>
      <c r="M322" s="10" t="inlineStr">
        <is>
          <t>4266</t>
        </is>
      </c>
      <c r="N322" s="10" t="inlineStr">
        <is>
          <t>2026-06-05</t>
        </is>
      </c>
      <c r="O322" s="11" t="inlineStr">
        <is>
          <t>https://www.roccpa.org.tw/member_search/more?id=642B1E83-21FD-475C-9EE6-5DF3BF9A9D20</t>
        </is>
      </c>
    </row>
    <row r="323">
      <c r="A323" s="10" t="n">
        <v>322</v>
      </c>
      <c r="B323" s="11" t="inlineStr">
        <is>
          <t>安侯建業聯合會計師事務所</t>
        </is>
      </c>
      <c r="C323" s="11" t="inlineStr">
        <is>
          <t>KPMG 安侯建業</t>
        </is>
      </c>
      <c r="D323" s="11" t="inlineStr">
        <is>
          <t>丁英泰</t>
        </is>
      </c>
      <c r="E323" s="10" t="inlineStr">
        <is>
          <t>台北總所</t>
        </is>
      </c>
      <c r="F323" s="12" t="inlineStr">
        <is>
          <t>台北市信義區信義路五段7號68樓</t>
        </is>
      </c>
      <c r="G323" s="12" t="inlineStr">
        <is>
          <t>台北市信義區信義路五段7號68樓</t>
        </is>
      </c>
      <c r="H323" s="12" t="inlineStr"/>
      <c r="I323" s="10" t="inlineStr">
        <is>
          <t>112/06/13</t>
        </is>
      </c>
      <c r="J323" s="11" t="inlineStr">
        <is>
          <t>全聯會一字第1120228</t>
        </is>
      </c>
      <c r="K323" s="10" t="inlineStr">
        <is>
          <t>北市</t>
        </is>
      </c>
      <c r="L323" s="10" t="inlineStr">
        <is>
          <t>112/06/13</t>
        </is>
      </c>
      <c r="M323" s="10" t="inlineStr">
        <is>
          <t>4532</t>
        </is>
      </c>
      <c r="N323" s="10" t="inlineStr">
        <is>
          <t>2026-06-05</t>
        </is>
      </c>
      <c r="O323" s="11" t="inlineStr">
        <is>
          <t>https://www.roccpa.org.tw/member_search/more?id=308A9B30-02D0-46CC-ABBB-5A056AB2BB57</t>
        </is>
      </c>
    </row>
    <row r="324">
      <c r="A324" s="10" t="n">
        <v>323</v>
      </c>
      <c r="B324" s="11" t="inlineStr">
        <is>
          <t>安侯建業聯合會計師事務所</t>
        </is>
      </c>
      <c r="C324" s="11" t="inlineStr">
        <is>
          <t>KPMG 安侯建業</t>
        </is>
      </c>
      <c r="D324" s="11" t="inlineStr">
        <is>
          <t>于紀隆</t>
        </is>
      </c>
      <c r="E324" s="10" t="inlineStr">
        <is>
          <t>台北總所</t>
        </is>
      </c>
      <c r="F324" s="12" t="inlineStr">
        <is>
          <t>台北市信義區信義路五段7號68樓</t>
        </is>
      </c>
      <c r="G324" s="12" t="inlineStr">
        <is>
          <t>台北市信義區信義路五段7號68樓</t>
        </is>
      </c>
      <c r="H324" s="12" t="inlineStr"/>
      <c r="I324" s="10" t="inlineStr"/>
      <c r="J324" s="11" t="inlineStr"/>
      <c r="K324" s="10" t="inlineStr">
        <is>
          <t>北市</t>
        </is>
      </c>
      <c r="L324" s="10" t="inlineStr">
        <is>
          <t>090/09/21</t>
        </is>
      </c>
      <c r="M324" s="10" t="inlineStr">
        <is>
          <t>2393</t>
        </is>
      </c>
      <c r="N324" s="10" t="inlineStr">
        <is>
          <t>2026-06-05</t>
        </is>
      </c>
      <c r="O324" s="11" t="inlineStr">
        <is>
          <t>https://www.roccpa.org.tw/member_search/more?id=16C39D64-7A70-4121-AB16-3C76D8643D71</t>
        </is>
      </c>
    </row>
    <row r="325">
      <c r="A325" s="10" t="n">
        <v>324</v>
      </c>
      <c r="B325" s="11" t="inlineStr">
        <is>
          <t>安侯建業聯合會計師事務所</t>
        </is>
      </c>
      <c r="C325" s="11" t="inlineStr">
        <is>
          <t>KPMG 安侯建業</t>
        </is>
      </c>
      <c r="D325" s="11" t="inlineStr">
        <is>
          <t>余聖河</t>
        </is>
      </c>
      <c r="E325" s="10" t="inlineStr">
        <is>
          <t>台北總所</t>
        </is>
      </c>
      <c r="F325" s="12" t="inlineStr">
        <is>
          <t>台北市信義區信義路五段7號68樓</t>
        </is>
      </c>
      <c r="G325" s="12" t="inlineStr">
        <is>
          <t>台北市信義區信義路五段7號68樓</t>
        </is>
      </c>
      <c r="H325" s="12" t="inlineStr"/>
      <c r="I325" s="10" t="inlineStr">
        <is>
          <t>101/01/19</t>
        </is>
      </c>
      <c r="J325" s="11" t="inlineStr">
        <is>
          <t>全聯會一字第1010021</t>
        </is>
      </c>
      <c r="K325" s="10" t="inlineStr">
        <is>
          <t>北市</t>
        </is>
      </c>
      <c r="L325" s="10" t="inlineStr">
        <is>
          <t>101/02/06</t>
        </is>
      </c>
      <c r="M325" s="10" t="inlineStr">
        <is>
          <t>3420</t>
        </is>
      </c>
      <c r="N325" s="10" t="inlineStr">
        <is>
          <t>2026-06-05</t>
        </is>
      </c>
      <c r="O325" s="11" t="inlineStr">
        <is>
          <t>https://www.roccpa.org.tw/member_search/more?id=9FA798CA-9F29-41F1-A34B-00AE0F82EC55</t>
        </is>
      </c>
    </row>
    <row r="326">
      <c r="A326" s="10" t="n">
        <v>325</v>
      </c>
      <c r="B326" s="11" t="inlineStr">
        <is>
          <t>安侯建業聯合會計師事務所</t>
        </is>
      </c>
      <c r="C326" s="11" t="inlineStr">
        <is>
          <t>KPMG 安侯建業</t>
        </is>
      </c>
      <c r="D326" s="11" t="inlineStr">
        <is>
          <t>傅泓文</t>
        </is>
      </c>
      <c r="E326" s="10" t="inlineStr">
        <is>
          <t>台北總所</t>
        </is>
      </c>
      <c r="F326" s="12" t="inlineStr">
        <is>
          <t>台北市信義區信義路五段7號68樓</t>
        </is>
      </c>
      <c r="G326" s="12" t="inlineStr">
        <is>
          <t>台北市信義區信義路五段7號68樓</t>
        </is>
      </c>
      <c r="H326" s="12" t="inlineStr"/>
      <c r="I326" s="10" t="inlineStr">
        <is>
          <t>109/01/31</t>
        </is>
      </c>
      <c r="J326" s="11" t="inlineStr">
        <is>
          <t>全聯會一字第1090040</t>
        </is>
      </c>
      <c r="K326" s="10" t="inlineStr">
        <is>
          <t>北市</t>
        </is>
      </c>
      <c r="L326" s="10" t="inlineStr">
        <is>
          <t>109/01/31</t>
        </is>
      </c>
      <c r="M326" s="10" t="inlineStr">
        <is>
          <t>4216</t>
        </is>
      </c>
      <c r="N326" s="10" t="inlineStr">
        <is>
          <t>2026-06-05</t>
        </is>
      </c>
      <c r="O326" s="11" t="inlineStr">
        <is>
          <t>https://www.roccpa.org.tw/member_search/more?id=89F78F06-502F-4D77-A9F2-BBA1D42859B8</t>
        </is>
      </c>
    </row>
    <row r="327">
      <c r="A327" s="10" t="n">
        <v>326</v>
      </c>
      <c r="B327" s="11" t="inlineStr">
        <is>
          <t>安侯建業聯合會計師事務所</t>
        </is>
      </c>
      <c r="C327" s="11" t="inlineStr">
        <is>
          <t>KPMG 安侯建業</t>
        </is>
      </c>
      <c r="D327" s="11" t="inlineStr">
        <is>
          <t>劉中惠</t>
        </is>
      </c>
      <c r="E327" s="10" t="inlineStr">
        <is>
          <t>台北總所</t>
        </is>
      </c>
      <c r="F327" s="12" t="inlineStr">
        <is>
          <t>台北市信義區信義路五段7號68樓</t>
        </is>
      </c>
      <c r="G327" s="12" t="inlineStr">
        <is>
          <t>台北市信義區信義路五段7號68樓</t>
        </is>
      </c>
      <c r="H327" s="12" t="inlineStr"/>
      <c r="I327" s="10" t="inlineStr">
        <is>
          <t>109/07/06</t>
        </is>
      </c>
      <c r="J327" s="11" t="inlineStr">
        <is>
          <t>全聯會一字第1090244</t>
        </is>
      </c>
      <c r="K327" s="10" t="inlineStr">
        <is>
          <t>北市</t>
        </is>
      </c>
      <c r="L327" s="10" t="inlineStr">
        <is>
          <t>109/07/06</t>
        </is>
      </c>
      <c r="M327" s="10" t="inlineStr">
        <is>
          <t>4265</t>
        </is>
      </c>
      <c r="N327" s="10" t="inlineStr">
        <is>
          <t>2026-06-05</t>
        </is>
      </c>
      <c r="O327" s="11" t="inlineStr">
        <is>
          <t>https://www.roccpa.org.tw/member_search/more?id=DFF78DE1-3174-4A2D-98FE-10F16968DC4E</t>
        </is>
      </c>
    </row>
    <row r="328">
      <c r="A328" s="10" t="n">
        <v>327</v>
      </c>
      <c r="B328" s="11" t="inlineStr">
        <is>
          <t>安侯建業聯合會計師事務所</t>
        </is>
      </c>
      <c r="C328" s="11" t="inlineStr">
        <is>
          <t>KPMG 安侯建業</t>
        </is>
      </c>
      <c r="D328" s="11" t="inlineStr">
        <is>
          <t>劉振興</t>
        </is>
      </c>
      <c r="E328" s="10" t="inlineStr">
        <is>
          <t>台北總所</t>
        </is>
      </c>
      <c r="F328" s="12" t="inlineStr">
        <is>
          <t>台北市信義區信義路五段7號68樓</t>
        </is>
      </c>
      <c r="G328" s="12" t="inlineStr">
        <is>
          <t>台北市信義區信義路五段7號68樓</t>
        </is>
      </c>
      <c r="H328" s="12" t="inlineStr"/>
      <c r="I328" s="10" t="inlineStr">
        <is>
          <t>114/10/03</t>
        </is>
      </c>
      <c r="J328" s="11" t="inlineStr">
        <is>
          <t>全聯會一字第1140000490號</t>
        </is>
      </c>
      <c r="K328" s="10" t="inlineStr">
        <is>
          <t>北市</t>
        </is>
      </c>
      <c r="L328" s="10" t="inlineStr">
        <is>
          <t>114/10/03</t>
        </is>
      </c>
      <c r="M328" s="10" t="inlineStr">
        <is>
          <t>4846</t>
        </is>
      </c>
      <c r="N328" s="10" t="inlineStr">
        <is>
          <t>2026-06-05</t>
        </is>
      </c>
      <c r="O328" s="11" t="inlineStr">
        <is>
          <t>https://www.roccpa.org.tw/member_search/more?id=858CD947-7F36-4FEC-96D9-31D83404C331</t>
        </is>
      </c>
    </row>
    <row r="329">
      <c r="A329" s="10" t="n">
        <v>328</v>
      </c>
      <c r="B329" s="11" t="inlineStr">
        <is>
          <t>安侯建業聯合會計師事務所</t>
        </is>
      </c>
      <c r="C329" s="11" t="inlineStr">
        <is>
          <t>KPMG 安侯建業</t>
        </is>
      </c>
      <c r="D329" s="11" t="inlineStr">
        <is>
          <t>區耀軍</t>
        </is>
      </c>
      <c r="E329" s="10" t="inlineStr">
        <is>
          <t>台北總所</t>
        </is>
      </c>
      <c r="F329" s="12" t="inlineStr">
        <is>
          <t>台北市信義區信義路五段7號68樓</t>
        </is>
      </c>
      <c r="G329" s="12" t="inlineStr">
        <is>
          <t>台北市信義區信義路五段7號68樓</t>
        </is>
      </c>
      <c r="H329" s="12" t="inlineStr"/>
      <c r="I329" s="10" t="inlineStr"/>
      <c r="J329" s="11" t="inlineStr"/>
      <c r="K329" s="10" t="inlineStr">
        <is>
          <t>北市</t>
        </is>
      </c>
      <c r="L329" s="10" t="inlineStr">
        <is>
          <t>093/01/05</t>
        </is>
      </c>
      <c r="M329" s="10" t="inlineStr">
        <is>
          <t>2613</t>
        </is>
      </c>
      <c r="N329" s="10" t="inlineStr">
        <is>
          <t>2026-06-05</t>
        </is>
      </c>
      <c r="O329" s="11" t="inlineStr">
        <is>
          <t>https://www.roccpa.org.tw/member_search/more?id=1552092C-6E6D-4789-8C3C-7E469B4819A3</t>
        </is>
      </c>
    </row>
    <row r="330">
      <c r="A330" s="10" t="n">
        <v>329</v>
      </c>
      <c r="B330" s="11" t="inlineStr">
        <is>
          <t>安侯建業聯合會計師事務所</t>
        </is>
      </c>
      <c r="C330" s="11" t="inlineStr">
        <is>
          <t>KPMG 安侯建業</t>
        </is>
      </c>
      <c r="D330" s="11" t="inlineStr">
        <is>
          <t>吳仲舜</t>
        </is>
      </c>
      <c r="E330" s="10" t="inlineStr">
        <is>
          <t>台北總所</t>
        </is>
      </c>
      <c r="F330" s="12" t="inlineStr">
        <is>
          <t>台北市信義區信義路五段7號68樓</t>
        </is>
      </c>
      <c r="G330" s="12" t="inlineStr">
        <is>
          <t>台北市信義區信義路五段7號68樓</t>
        </is>
      </c>
      <c r="H330" s="12" t="inlineStr"/>
      <c r="I330" s="10" t="inlineStr">
        <is>
          <t>109/01/31</t>
        </is>
      </c>
      <c r="J330" s="11" t="inlineStr">
        <is>
          <t>全聯會一字第1090041</t>
        </is>
      </c>
      <c r="K330" s="10" t="inlineStr">
        <is>
          <t>北市</t>
        </is>
      </c>
      <c r="L330" s="10" t="inlineStr">
        <is>
          <t>109/01/31</t>
        </is>
      </c>
      <c r="M330" s="10" t="inlineStr">
        <is>
          <t>4217</t>
        </is>
      </c>
      <c r="N330" s="10" t="inlineStr">
        <is>
          <t>2026-06-05</t>
        </is>
      </c>
      <c r="O330" s="11" t="inlineStr">
        <is>
          <t>https://www.roccpa.org.tw/member_search/more?id=B0D476AC-B902-4AF6-82A7-363985E3DA22</t>
        </is>
      </c>
    </row>
    <row r="331">
      <c r="A331" s="10" t="n">
        <v>330</v>
      </c>
      <c r="B331" s="11" t="inlineStr">
        <is>
          <t>安侯建業聯合會計師事務所</t>
        </is>
      </c>
      <c r="C331" s="11" t="inlineStr">
        <is>
          <t>KPMG 安侯建業</t>
        </is>
      </c>
      <c r="D331" s="11" t="inlineStr">
        <is>
          <t>吳佳翰</t>
        </is>
      </c>
      <c r="E331" s="10" t="inlineStr">
        <is>
          <t>台北總所</t>
        </is>
      </c>
      <c r="F331" s="12" t="inlineStr">
        <is>
          <t>台北市信義區信義路五段7號68樓</t>
        </is>
      </c>
      <c r="G331" s="12" t="inlineStr">
        <is>
          <t>台北市信義區信義路五段7號68樓</t>
        </is>
      </c>
      <c r="H331" s="12" t="inlineStr"/>
      <c r="I331" s="10" t="inlineStr">
        <is>
          <t>113/01/15</t>
        </is>
      </c>
      <c r="J331" s="11" t="inlineStr">
        <is>
          <t>全聯會一字第1130000028號</t>
        </is>
      </c>
      <c r="K331" s="10" t="inlineStr">
        <is>
          <t>北市</t>
        </is>
      </c>
      <c r="L331" s="10" t="inlineStr">
        <is>
          <t>113/01/15</t>
        </is>
      </c>
      <c r="M331" s="10" t="inlineStr">
        <is>
          <t>4591</t>
        </is>
      </c>
      <c r="N331" s="10" t="inlineStr">
        <is>
          <t>2026-06-05</t>
        </is>
      </c>
      <c r="O331" s="11" t="inlineStr">
        <is>
          <t>https://www.roccpa.org.tw/member_search/more?id=92522745-0A6B-4751-B1CB-8A4395064547</t>
        </is>
      </c>
    </row>
    <row r="332">
      <c r="A332" s="10" t="n">
        <v>331</v>
      </c>
      <c r="B332" s="11" t="inlineStr">
        <is>
          <t>安侯建業聯合會計師事務所</t>
        </is>
      </c>
      <c r="C332" s="11" t="inlineStr">
        <is>
          <t>KPMG 安侯建業</t>
        </is>
      </c>
      <c r="D332" s="11" t="inlineStr">
        <is>
          <t>吳政諺</t>
        </is>
      </c>
      <c r="E332" s="10" t="inlineStr">
        <is>
          <t>台北總所</t>
        </is>
      </c>
      <c r="F332" s="12" t="inlineStr">
        <is>
          <t>台北市信義區信義路五段7號68樓</t>
        </is>
      </c>
      <c r="G332" s="12" t="inlineStr">
        <is>
          <t>台北市信義區信義路五段7號68樓</t>
        </is>
      </c>
      <c r="H332" s="12" t="inlineStr"/>
      <c r="I332" s="10" t="inlineStr">
        <is>
          <t>106/10/06</t>
        </is>
      </c>
      <c r="J332" s="11" t="inlineStr">
        <is>
          <t>全聯會一字第1060358</t>
        </is>
      </c>
      <c r="K332" s="10" t="inlineStr">
        <is>
          <t>北市</t>
        </is>
      </c>
      <c r="L332" s="10" t="inlineStr">
        <is>
          <t>106/10/06</t>
        </is>
      </c>
      <c r="M332" s="10" t="inlineStr">
        <is>
          <t>4044</t>
        </is>
      </c>
      <c r="N332" s="10" t="inlineStr">
        <is>
          <t>2026-06-05</t>
        </is>
      </c>
      <c r="O332" s="11" t="inlineStr">
        <is>
          <t>https://www.roccpa.org.tw/member_search/more?id=D1F389ED-187E-474C-92E8-FB5254C9F27B</t>
        </is>
      </c>
    </row>
    <row r="333">
      <c r="A333" s="10" t="n">
        <v>332</v>
      </c>
      <c r="B333" s="11" t="inlineStr">
        <is>
          <t>安侯建業聯合會計師事務所</t>
        </is>
      </c>
      <c r="C333" s="11" t="inlineStr">
        <is>
          <t>KPMG 安侯建業</t>
        </is>
      </c>
      <c r="D333" s="11" t="inlineStr">
        <is>
          <t>吳祁達</t>
        </is>
      </c>
      <c r="E333" s="10" t="inlineStr">
        <is>
          <t>台北總所</t>
        </is>
      </c>
      <c r="F333" s="12" t="inlineStr">
        <is>
          <t>台北市信義區信義路五段7號68樓</t>
        </is>
      </c>
      <c r="G333" s="12" t="inlineStr">
        <is>
          <t>台北市信義區信義路五段7號68樓</t>
        </is>
      </c>
      <c r="H333" s="12" t="inlineStr"/>
      <c r="I333" s="10" t="inlineStr">
        <is>
          <t>114/10/03</t>
        </is>
      </c>
      <c r="J333" s="11" t="inlineStr">
        <is>
          <t>全聯會一字第1140000488號</t>
        </is>
      </c>
      <c r="K333" s="10" t="inlineStr">
        <is>
          <t>北市</t>
        </is>
      </c>
      <c r="L333" s="10" t="inlineStr">
        <is>
          <t>114/10/03</t>
        </is>
      </c>
      <c r="M333" s="10" t="inlineStr">
        <is>
          <t>4844</t>
        </is>
      </c>
      <c r="N333" s="10" t="inlineStr">
        <is>
          <t>2026-06-05</t>
        </is>
      </c>
      <c r="O333" s="11" t="inlineStr">
        <is>
          <t>https://www.roccpa.org.tw/member_search/more?id=ED306F82-CB10-4FF2-9B80-8CF17B04CF90</t>
        </is>
      </c>
    </row>
    <row r="334">
      <c r="A334" s="10" t="n">
        <v>333</v>
      </c>
      <c r="B334" s="11" t="inlineStr">
        <is>
          <t>安侯建業聯合會計師事務所</t>
        </is>
      </c>
      <c r="C334" s="11" t="inlineStr">
        <is>
          <t>KPMG 安侯建業</t>
        </is>
      </c>
      <c r="D334" s="11" t="inlineStr">
        <is>
          <t>吳趙仁</t>
        </is>
      </c>
      <c r="E334" s="10" t="inlineStr">
        <is>
          <t>台北總所</t>
        </is>
      </c>
      <c r="F334" s="12" t="inlineStr">
        <is>
          <t>台北市信義區信義路五段7號68樓</t>
        </is>
      </c>
      <c r="G334" s="12" t="inlineStr">
        <is>
          <t>台北市信義區信義路五段7號68樓</t>
        </is>
      </c>
      <c r="H334" s="12" t="inlineStr"/>
      <c r="I334" s="10" t="inlineStr">
        <is>
          <t>107/02/05</t>
        </is>
      </c>
      <c r="J334" s="11" t="inlineStr">
        <is>
          <t>全聯會一字第1070074</t>
        </is>
      </c>
      <c r="K334" s="10" t="inlineStr">
        <is>
          <t>北市</t>
        </is>
      </c>
      <c r="L334" s="10" t="inlineStr">
        <is>
          <t>107/02/05</t>
        </is>
      </c>
      <c r="M334" s="10" t="inlineStr">
        <is>
          <t>4071</t>
        </is>
      </c>
      <c r="N334" s="10" t="inlineStr">
        <is>
          <t>2026-06-05</t>
        </is>
      </c>
      <c r="O334" s="11" t="inlineStr">
        <is>
          <t>https://www.roccpa.org.tw/member_search/more?id=DFF7E801-A33C-4F63-B3F9-4941F4CFA7A5</t>
        </is>
      </c>
    </row>
    <row r="335">
      <c r="A335" s="10" t="n">
        <v>334</v>
      </c>
      <c r="B335" s="11" t="inlineStr">
        <is>
          <t>安侯建業聯合會計師事務所</t>
        </is>
      </c>
      <c r="C335" s="11" t="inlineStr">
        <is>
          <t>KPMG 安侯建業</t>
        </is>
      </c>
      <c r="D335" s="11" t="inlineStr">
        <is>
          <t>吳麟</t>
        </is>
      </c>
      <c r="E335" s="10" t="inlineStr">
        <is>
          <t>台北總所</t>
        </is>
      </c>
      <c r="F335" s="12" t="inlineStr">
        <is>
          <t>台北市信義區信義路五段7號68樓</t>
        </is>
      </c>
      <c r="G335" s="12" t="inlineStr">
        <is>
          <t>台北市信義區信義路五段7號68樓</t>
        </is>
      </c>
      <c r="H335" s="12" t="inlineStr"/>
      <c r="I335" s="10" t="inlineStr"/>
      <c r="J335" s="11" t="inlineStr"/>
      <c r="K335" s="10" t="inlineStr">
        <is>
          <t>北市</t>
        </is>
      </c>
      <c r="L335" s="10" t="inlineStr">
        <is>
          <t>096/10/01</t>
        </is>
      </c>
      <c r="M335" s="10" t="inlineStr">
        <is>
          <t>2962</t>
        </is>
      </c>
      <c r="N335" s="10" t="inlineStr">
        <is>
          <t>2026-06-05</t>
        </is>
      </c>
      <c r="O335" s="11" t="inlineStr">
        <is>
          <t>https://www.roccpa.org.tw/member_search/more?id=735B3B6F-B5B7-487B-A906-E92D0EB9F089</t>
        </is>
      </c>
    </row>
    <row r="336">
      <c r="A336" s="10" t="n">
        <v>335</v>
      </c>
      <c r="B336" s="11" t="inlineStr">
        <is>
          <t>安侯建業聯合會計師事務所</t>
        </is>
      </c>
      <c r="C336" s="11" t="inlineStr">
        <is>
          <t>KPMG 安侯建業</t>
        </is>
      </c>
      <c r="D336" s="11" t="inlineStr">
        <is>
          <t>周寶蓮</t>
        </is>
      </c>
      <c r="E336" s="10" t="inlineStr">
        <is>
          <t>台北總所</t>
        </is>
      </c>
      <c r="F336" s="12" t="inlineStr">
        <is>
          <t>台北市信義區信義路五段7號68樓</t>
        </is>
      </c>
      <c r="G336" s="12" t="inlineStr">
        <is>
          <t>台北市信義區信義路五段7號68樓</t>
        </is>
      </c>
      <c r="H336" s="12" t="inlineStr"/>
      <c r="I336" s="10" t="inlineStr"/>
      <c r="J336" s="11" t="inlineStr"/>
      <c r="K336" s="10" t="inlineStr">
        <is>
          <t>北市</t>
        </is>
      </c>
      <c r="L336" s="10" t="inlineStr">
        <is>
          <t>093/05/10</t>
        </is>
      </c>
      <c r="M336" s="10" t="inlineStr">
        <is>
          <t>2637</t>
        </is>
      </c>
      <c r="N336" s="10" t="inlineStr">
        <is>
          <t>2026-06-05</t>
        </is>
      </c>
      <c r="O336" s="11" t="inlineStr">
        <is>
          <t>https://www.roccpa.org.tw/member_search/more?id=25B63349-850F-4692-9514-F4DFD01718B3</t>
        </is>
      </c>
    </row>
    <row r="337">
      <c r="A337" s="10" t="n">
        <v>336</v>
      </c>
      <c r="B337" s="11" t="inlineStr">
        <is>
          <t>安侯建業聯合會計師事務所</t>
        </is>
      </c>
      <c r="C337" s="11" t="inlineStr">
        <is>
          <t>KPMG 安侯建業</t>
        </is>
      </c>
      <c r="D337" s="11" t="inlineStr">
        <is>
          <t>唐嘉鍵</t>
        </is>
      </c>
      <c r="E337" s="10" t="inlineStr">
        <is>
          <t>台北總所</t>
        </is>
      </c>
      <c r="F337" s="12" t="inlineStr">
        <is>
          <t>台北市信義區信義路五段7號68樓</t>
        </is>
      </c>
      <c r="G337" s="12" t="inlineStr">
        <is>
          <t>台北市信義區信義路五段7號68樓</t>
        </is>
      </c>
      <c r="H337" s="12" t="inlineStr"/>
      <c r="I337" s="10" t="inlineStr">
        <is>
          <t>108/01/14</t>
        </is>
      </c>
      <c r="J337" s="11" t="inlineStr">
        <is>
          <t>全聯會一字第1080034</t>
        </is>
      </c>
      <c r="K337" s="10" t="inlineStr">
        <is>
          <t>北市</t>
        </is>
      </c>
      <c r="L337" s="10" t="inlineStr">
        <is>
          <t>108/01/14</t>
        </is>
      </c>
      <c r="M337" s="10" t="inlineStr">
        <is>
          <t>4149</t>
        </is>
      </c>
      <c r="N337" s="10" t="inlineStr">
        <is>
          <t>2026-06-05</t>
        </is>
      </c>
      <c r="O337" s="11" t="inlineStr">
        <is>
          <t>https://www.roccpa.org.tw/member_search/more?id=A47519EC-71B7-4CC1-8C9C-EAF6139EBFCB</t>
        </is>
      </c>
    </row>
    <row r="338">
      <c r="A338" s="10" t="n">
        <v>337</v>
      </c>
      <c r="B338" s="11" t="inlineStr">
        <is>
          <t>安侯建業聯合會計師事務所</t>
        </is>
      </c>
      <c r="C338" s="11" t="inlineStr">
        <is>
          <t>KPMG 安侯建業</t>
        </is>
      </c>
      <c r="D338" s="11" t="inlineStr">
        <is>
          <t>寇惠植</t>
        </is>
      </c>
      <c r="E338" s="10" t="inlineStr">
        <is>
          <t>台北總所</t>
        </is>
      </c>
      <c r="F338" s="12" t="inlineStr">
        <is>
          <t>台北市信義區信義路五段7號68樓</t>
        </is>
      </c>
      <c r="G338" s="12" t="inlineStr">
        <is>
          <t>台北市信義區信義路五段7號68樓</t>
        </is>
      </c>
      <c r="H338" s="12" t="inlineStr"/>
      <c r="I338" s="10" t="inlineStr"/>
      <c r="J338" s="11" t="inlineStr"/>
      <c r="K338" s="10" t="inlineStr">
        <is>
          <t>北市</t>
        </is>
      </c>
      <c r="L338" s="10" t="inlineStr">
        <is>
          <t>086/12/17</t>
        </is>
      </c>
      <c r="M338" s="10" t="inlineStr">
        <is>
          <t>1989</t>
        </is>
      </c>
      <c r="N338" s="10" t="inlineStr">
        <is>
          <t>2026-06-05</t>
        </is>
      </c>
      <c r="O338" s="11" t="inlineStr">
        <is>
          <t>https://www.roccpa.org.tw/member_search/more?id=DF68C182-06CF-4CCA-8A76-AF9CEB938F3C</t>
        </is>
      </c>
    </row>
    <row r="339">
      <c r="A339" s="10" t="n">
        <v>338</v>
      </c>
      <c r="B339" s="11" t="inlineStr">
        <is>
          <t>安侯建業聯合會計師事務所</t>
        </is>
      </c>
      <c r="C339" s="11" t="inlineStr">
        <is>
          <t>KPMG 安侯建業</t>
        </is>
      </c>
      <c r="D339" s="11" t="inlineStr">
        <is>
          <t>尹元聖</t>
        </is>
      </c>
      <c r="E339" s="10" t="inlineStr">
        <is>
          <t>台北總所</t>
        </is>
      </c>
      <c r="F339" s="12" t="inlineStr">
        <is>
          <t>台北市信義區信義路五段7號68樓</t>
        </is>
      </c>
      <c r="G339" s="12" t="inlineStr">
        <is>
          <t>台北市信義區信義路五段7號68樓</t>
        </is>
      </c>
      <c r="H339" s="12" t="inlineStr"/>
      <c r="I339" s="10" t="inlineStr">
        <is>
          <t>105/03/07</t>
        </is>
      </c>
      <c r="J339" s="11" t="inlineStr">
        <is>
          <t>全聯會一字第1050124</t>
        </is>
      </c>
      <c r="K339" s="10" t="inlineStr">
        <is>
          <t>北市</t>
        </is>
      </c>
      <c r="L339" s="10" t="inlineStr">
        <is>
          <t>105/03/16</t>
        </is>
      </c>
      <c r="M339" s="10" t="inlineStr">
        <is>
          <t>3906</t>
        </is>
      </c>
      <c r="N339" s="10" t="inlineStr">
        <is>
          <t>2026-06-05</t>
        </is>
      </c>
      <c r="O339" s="11" t="inlineStr">
        <is>
          <t>https://www.roccpa.org.tw/member_search/more?id=40F0714B-E3EE-44B9-BA22-C783C9DFDC30</t>
        </is>
      </c>
    </row>
    <row r="340">
      <c r="A340" s="10" t="n">
        <v>339</v>
      </c>
      <c r="B340" s="11" t="inlineStr">
        <is>
          <t>安侯建業聯合會計師事務所</t>
        </is>
      </c>
      <c r="C340" s="11" t="inlineStr">
        <is>
          <t>KPMG 安侯建業</t>
        </is>
      </c>
      <c r="D340" s="11" t="inlineStr">
        <is>
          <t>張惠貞</t>
        </is>
      </c>
      <c r="E340" s="10" t="inlineStr">
        <is>
          <t>台北總所</t>
        </is>
      </c>
      <c r="F340" s="12" t="inlineStr">
        <is>
          <t>台北市信義區信義路五段7號68樓</t>
        </is>
      </c>
      <c r="G340" s="12" t="inlineStr">
        <is>
          <t>台北市信義區信義路五段7號68樓</t>
        </is>
      </c>
      <c r="H340" s="12" t="inlineStr"/>
      <c r="I340" s="10" t="inlineStr"/>
      <c r="J340" s="11" t="inlineStr"/>
      <c r="K340" s="10" t="inlineStr">
        <is>
          <t>北市</t>
        </is>
      </c>
      <c r="L340" s="10" t="inlineStr">
        <is>
          <t>081/11/23</t>
        </is>
      </c>
      <c r="M340" s="10" t="inlineStr">
        <is>
          <t>1419</t>
        </is>
      </c>
      <c r="N340" s="10" t="inlineStr">
        <is>
          <t>2026-06-05</t>
        </is>
      </c>
      <c r="O340" s="11" t="inlineStr">
        <is>
          <t>https://www.roccpa.org.tw/member_search/more?id=9037C6F3-8701-4DDC-8778-3C0BA03208AD</t>
        </is>
      </c>
    </row>
    <row r="341">
      <c r="A341" s="10" t="n">
        <v>340</v>
      </c>
      <c r="B341" s="11" t="inlineStr">
        <is>
          <t>安侯建業聯合會計師事務所</t>
        </is>
      </c>
      <c r="C341" s="11" t="inlineStr">
        <is>
          <t>KPMG 安侯建業</t>
        </is>
      </c>
      <c r="D341" s="11" t="inlineStr">
        <is>
          <t>張智揚</t>
        </is>
      </c>
      <c r="E341" s="10" t="inlineStr">
        <is>
          <t>台北總所</t>
        </is>
      </c>
      <c r="F341" s="12" t="inlineStr">
        <is>
          <t>台北市信義區信義路五段7號68樓</t>
        </is>
      </c>
      <c r="G341" s="12" t="inlineStr">
        <is>
          <t>台北市信義區信義路五段7號68樓</t>
        </is>
      </c>
      <c r="H341" s="12" t="inlineStr"/>
      <c r="I341" s="10" t="inlineStr">
        <is>
          <t>111/02/07</t>
        </is>
      </c>
      <c r="J341" s="11" t="inlineStr">
        <is>
          <t>全聯會一字第1110070</t>
        </is>
      </c>
      <c r="K341" s="10" t="inlineStr">
        <is>
          <t>北市</t>
        </is>
      </c>
      <c r="L341" s="10" t="inlineStr">
        <is>
          <t>111/02/07</t>
        </is>
      </c>
      <c r="M341" s="10" t="inlineStr">
        <is>
          <t>4400</t>
        </is>
      </c>
      <c r="N341" s="10" t="inlineStr">
        <is>
          <t>2026-06-05</t>
        </is>
      </c>
      <c r="O341" s="11" t="inlineStr">
        <is>
          <t>https://www.roccpa.org.tw/member_search/more?id=4CBA9ABF-D35E-4798-9543-8B7E33203BE8</t>
        </is>
      </c>
    </row>
    <row r="342">
      <c r="A342" s="10" t="n">
        <v>341</v>
      </c>
      <c r="B342" s="11" t="inlineStr">
        <is>
          <t>安侯建業聯合會計師事務所</t>
        </is>
      </c>
      <c r="C342" s="11" t="inlineStr">
        <is>
          <t>KPMG 安侯建業</t>
        </is>
      </c>
      <c r="D342" s="11" t="inlineStr">
        <is>
          <t>張淑瑩</t>
        </is>
      </c>
      <c r="E342" s="10" t="inlineStr">
        <is>
          <t>台北總所</t>
        </is>
      </c>
      <c r="F342" s="12" t="inlineStr">
        <is>
          <t>台北市信義區信義路五段7號68樓</t>
        </is>
      </c>
      <c r="G342" s="12" t="inlineStr">
        <is>
          <t>台北市信義區信義路五段7號68樓</t>
        </is>
      </c>
      <c r="H342" s="12" t="inlineStr"/>
      <c r="I342" s="10" t="inlineStr"/>
      <c r="J342" s="11" t="inlineStr"/>
      <c r="K342" s="10" t="inlineStr">
        <is>
          <t>北市</t>
        </is>
      </c>
      <c r="L342" s="10" t="inlineStr">
        <is>
          <t>088/09/28</t>
        </is>
      </c>
      <c r="M342" s="10" t="inlineStr">
        <is>
          <t>2191</t>
        </is>
      </c>
      <c r="N342" s="10" t="inlineStr">
        <is>
          <t>2026-06-05</t>
        </is>
      </c>
      <c r="O342" s="11" t="inlineStr">
        <is>
          <t>https://www.roccpa.org.tw/member_search/more?id=4B50D5E9-BE98-451B-A9D2-785F03E4B40D</t>
        </is>
      </c>
    </row>
    <row r="343">
      <c r="A343" s="10" t="n">
        <v>342</v>
      </c>
      <c r="B343" s="11" t="inlineStr">
        <is>
          <t>安侯建業聯合會計師事務所</t>
        </is>
      </c>
      <c r="C343" s="11" t="inlineStr">
        <is>
          <t>KPMG 安侯建業</t>
        </is>
      </c>
      <c r="D343" s="11" t="inlineStr">
        <is>
          <t>張純怡</t>
        </is>
      </c>
      <c r="E343" s="10" t="inlineStr">
        <is>
          <t>台北總所</t>
        </is>
      </c>
      <c r="F343" s="12" t="inlineStr">
        <is>
          <t>台北市信義區信義路五段7號68樓</t>
        </is>
      </c>
      <c r="G343" s="12" t="inlineStr">
        <is>
          <t>台北市信義區信義路五段7號68樓</t>
        </is>
      </c>
      <c r="H343" s="12" t="inlineStr"/>
      <c r="I343" s="10" t="inlineStr">
        <is>
          <t>105/08/17</t>
        </is>
      </c>
      <c r="J343" s="11" t="inlineStr">
        <is>
          <t>全聯會一字第1050357</t>
        </is>
      </c>
      <c r="K343" s="10" t="inlineStr">
        <is>
          <t>北市</t>
        </is>
      </c>
      <c r="L343" s="10" t="inlineStr">
        <is>
          <t>105/08/22</t>
        </is>
      </c>
      <c r="M343" s="10" t="inlineStr">
        <is>
          <t>3955</t>
        </is>
      </c>
      <c r="N343" s="10" t="inlineStr">
        <is>
          <t>2026-06-05</t>
        </is>
      </c>
      <c r="O343" s="11" t="inlineStr">
        <is>
          <t>https://www.roccpa.org.tw/member_search/more?id=DEB62E18-1703-4AD0-AF44-C1A0EEDE96EA</t>
        </is>
      </c>
    </row>
    <row r="344">
      <c r="A344" s="10" t="n">
        <v>343</v>
      </c>
      <c r="B344" s="11" t="inlineStr">
        <is>
          <t>安侯建業聯合會計師事務所</t>
        </is>
      </c>
      <c r="C344" s="11" t="inlineStr">
        <is>
          <t>KPMG 安侯建業</t>
        </is>
      </c>
      <c r="D344" s="11" t="inlineStr">
        <is>
          <t>張維夫</t>
        </is>
      </c>
      <c r="E344" s="10" t="inlineStr">
        <is>
          <t>台北總所</t>
        </is>
      </c>
      <c r="F344" s="12" t="inlineStr">
        <is>
          <t>台北市信義區信義路五段7號68樓</t>
        </is>
      </c>
      <c r="G344" s="12" t="inlineStr">
        <is>
          <t>台北市信義區信義路五段7號68樓</t>
        </is>
      </c>
      <c r="H344" s="12" t="inlineStr"/>
      <c r="I344" s="10" t="inlineStr">
        <is>
          <t>100/06/28</t>
        </is>
      </c>
      <c r="J344" s="11" t="inlineStr">
        <is>
          <t>全聯會一字第1000251</t>
        </is>
      </c>
      <c r="K344" s="10" t="inlineStr">
        <is>
          <t>北市</t>
        </is>
      </c>
      <c r="L344" s="10" t="inlineStr">
        <is>
          <t>100/07/06</t>
        </is>
      </c>
      <c r="M344" s="10" t="inlineStr">
        <is>
          <t>3367</t>
        </is>
      </c>
      <c r="N344" s="10" t="inlineStr">
        <is>
          <t>2026-06-05</t>
        </is>
      </c>
      <c r="O344" s="11" t="inlineStr">
        <is>
          <t>https://www.roccpa.org.tw/member_search/more?id=D404CC9D-99BE-4A4B-A2B7-689BA4B58F04</t>
        </is>
      </c>
    </row>
    <row r="345">
      <c r="A345" s="10" t="n">
        <v>344</v>
      </c>
      <c r="B345" s="11" t="inlineStr">
        <is>
          <t>安侯建業聯合會計師事務所</t>
        </is>
      </c>
      <c r="C345" s="11" t="inlineStr">
        <is>
          <t>KPMG 安侯建業</t>
        </is>
      </c>
      <c r="D345" s="11" t="inlineStr">
        <is>
          <t>張維欣</t>
        </is>
      </c>
      <c r="E345" s="10" t="inlineStr">
        <is>
          <t>台北總所</t>
        </is>
      </c>
      <c r="F345" s="12" t="inlineStr">
        <is>
          <t>台北市信義區信義路五段7號68樓</t>
        </is>
      </c>
      <c r="G345" s="12" t="inlineStr">
        <is>
          <t>台北市信義區信義路五段7號68樓</t>
        </is>
      </c>
      <c r="H345" s="12" t="inlineStr"/>
      <c r="I345" s="10" t="inlineStr">
        <is>
          <t>114/01/13</t>
        </is>
      </c>
      <c r="J345" s="11" t="inlineStr">
        <is>
          <t>全聯會一字第1140000040號</t>
        </is>
      </c>
      <c r="K345" s="10" t="inlineStr">
        <is>
          <t>北市</t>
        </is>
      </c>
      <c r="L345" s="10" t="inlineStr">
        <is>
          <t>114/01/13</t>
        </is>
      </c>
      <c r="M345" s="10" t="inlineStr">
        <is>
          <t>4696</t>
        </is>
      </c>
      <c r="N345" s="10" t="inlineStr">
        <is>
          <t>2026-06-05</t>
        </is>
      </c>
      <c r="O345" s="11" t="inlineStr">
        <is>
          <t>https://www.roccpa.org.tw/member_search/more?id=5CE22604-5FDC-4B53-AFFF-3C803D13EA16</t>
        </is>
      </c>
    </row>
    <row r="346">
      <c r="A346" s="10" t="n">
        <v>345</v>
      </c>
      <c r="B346" s="11" t="inlineStr">
        <is>
          <t>安侯建業聯合會計師事務所</t>
        </is>
      </c>
      <c r="C346" s="11" t="inlineStr">
        <is>
          <t>KPMG 安侯建業</t>
        </is>
      </c>
      <c r="D346" s="11" t="inlineStr">
        <is>
          <t>張肇文</t>
        </is>
      </c>
      <c r="E346" s="10" t="inlineStr">
        <is>
          <t>台北總所</t>
        </is>
      </c>
      <c r="F346" s="12" t="inlineStr">
        <is>
          <t>台北市信義區信義路五段7號68樓</t>
        </is>
      </c>
      <c r="G346" s="12" t="inlineStr">
        <is>
          <t>台北市信義區信義路五段7號68樓</t>
        </is>
      </c>
      <c r="H346" s="12" t="inlineStr"/>
      <c r="I346" s="10" t="inlineStr">
        <is>
          <t>114/01/13</t>
        </is>
      </c>
      <c r="J346" s="11" t="inlineStr">
        <is>
          <t>全聯會一字第1140000037號</t>
        </is>
      </c>
      <c r="K346" s="10" t="inlineStr">
        <is>
          <t>北市</t>
        </is>
      </c>
      <c r="L346" s="10" t="inlineStr">
        <is>
          <t>114/01/13</t>
        </is>
      </c>
      <c r="M346" s="10" t="inlineStr">
        <is>
          <t>4693</t>
        </is>
      </c>
      <c r="N346" s="10" t="inlineStr">
        <is>
          <t>2026-06-05</t>
        </is>
      </c>
      <c r="O346" s="11" t="inlineStr">
        <is>
          <t>https://www.roccpa.org.tw/member_search/more?id=C6785576-4E84-4832-91B5-4BF76B32DC52</t>
        </is>
      </c>
    </row>
    <row r="347">
      <c r="A347" s="10" t="n">
        <v>346</v>
      </c>
      <c r="B347" s="11" t="inlineStr">
        <is>
          <t>安侯建業聯合會計師事務所</t>
        </is>
      </c>
      <c r="C347" s="11" t="inlineStr">
        <is>
          <t>KPMG 安侯建業</t>
        </is>
      </c>
      <c r="D347" s="11" t="inlineStr">
        <is>
          <t>施威銘</t>
        </is>
      </c>
      <c r="E347" s="10" t="inlineStr">
        <is>
          <t>台北總所</t>
        </is>
      </c>
      <c r="F347" s="12" t="inlineStr">
        <is>
          <t>台北市信義區信義路五段7號68樓</t>
        </is>
      </c>
      <c r="G347" s="12" t="inlineStr">
        <is>
          <t>台北市信義區信義路五段7號68樓</t>
        </is>
      </c>
      <c r="H347" s="12" t="inlineStr"/>
      <c r="I347" s="10" t="inlineStr"/>
      <c r="J347" s="11" t="inlineStr"/>
      <c r="K347" s="10" t="inlineStr">
        <is>
          <t>北市</t>
        </is>
      </c>
      <c r="L347" s="10" t="inlineStr">
        <is>
          <t>090/03/15</t>
        </is>
      </c>
      <c r="M347" s="10" t="inlineStr">
        <is>
          <t>2352</t>
        </is>
      </c>
      <c r="N347" s="10" t="inlineStr">
        <is>
          <t>2026-06-05</t>
        </is>
      </c>
      <c r="O347" s="11" t="inlineStr">
        <is>
          <t>https://www.roccpa.org.tw/member_search/more?id=9FE7A46D-E360-412D-9647-F959798A1F70</t>
        </is>
      </c>
    </row>
    <row r="348">
      <c r="A348" s="10" t="n">
        <v>347</v>
      </c>
      <c r="B348" s="11" t="inlineStr">
        <is>
          <t>安侯建業聯合會計師事務所</t>
        </is>
      </c>
      <c r="C348" s="11" t="inlineStr">
        <is>
          <t>KPMG 安侯建業</t>
        </is>
      </c>
      <c r="D348" s="11" t="inlineStr">
        <is>
          <t>曾國禓</t>
        </is>
      </c>
      <c r="E348" s="10" t="inlineStr">
        <is>
          <t>台北總所</t>
        </is>
      </c>
      <c r="F348" s="12" t="inlineStr">
        <is>
          <t>台北市信義區信義路五段7號68樓</t>
        </is>
      </c>
      <c r="G348" s="12" t="inlineStr">
        <is>
          <t>台北市信義區信義路五段7號68樓</t>
        </is>
      </c>
      <c r="H348" s="12" t="inlineStr"/>
      <c r="I348" s="10" t="inlineStr"/>
      <c r="J348" s="11" t="inlineStr"/>
      <c r="K348" s="10" t="inlineStr">
        <is>
          <t>北市</t>
        </is>
      </c>
      <c r="L348" s="10" t="inlineStr">
        <is>
          <t>093/12/16</t>
        </is>
      </c>
      <c r="M348" s="10" t="inlineStr">
        <is>
          <t>2701</t>
        </is>
      </c>
      <c r="N348" s="10" t="inlineStr">
        <is>
          <t>2026-06-05</t>
        </is>
      </c>
      <c r="O348" s="11" t="inlineStr">
        <is>
          <t>https://www.roccpa.org.tw/member_search/more?id=D306462A-4EA9-409C-B410-533633DA3B97</t>
        </is>
      </c>
    </row>
    <row r="349">
      <c r="A349" s="10" t="n">
        <v>348</v>
      </c>
      <c r="B349" s="11" t="inlineStr">
        <is>
          <t>安侯建業聯合會計師事務所</t>
        </is>
      </c>
      <c r="C349" s="11" t="inlineStr">
        <is>
          <t>KPMG 安侯建業</t>
        </is>
      </c>
      <c r="D349" s="11" t="inlineStr">
        <is>
          <t>李䄱儀</t>
        </is>
      </c>
      <c r="E349" s="10" t="inlineStr">
        <is>
          <t>台北總所</t>
        </is>
      </c>
      <c r="F349" s="12" t="inlineStr">
        <is>
          <t>台北市信義區信義路五段7號68樓</t>
        </is>
      </c>
      <c r="G349" s="12" t="inlineStr">
        <is>
          <t>台北市信義區信義路五段7號68樓</t>
        </is>
      </c>
      <c r="H349" s="12" t="inlineStr"/>
      <c r="I349" s="10" t="inlineStr">
        <is>
          <t>101/01/19</t>
        </is>
      </c>
      <c r="J349" s="11" t="inlineStr">
        <is>
          <t>全聯會一字第1010020</t>
        </is>
      </c>
      <c r="K349" s="10" t="inlineStr">
        <is>
          <t>北市</t>
        </is>
      </c>
      <c r="L349" s="10" t="inlineStr">
        <is>
          <t>101/02/06</t>
        </is>
      </c>
      <c r="M349" s="10" t="inlineStr">
        <is>
          <t>3419</t>
        </is>
      </c>
      <c r="N349" s="10" t="inlineStr">
        <is>
          <t>2026-06-05</t>
        </is>
      </c>
      <c r="O349" s="11" t="inlineStr">
        <is>
          <t>https://www.roccpa.org.tw/member_search/more?id=A1A1601F-D000-4EAC-BC9F-AF15E05DBC48</t>
        </is>
      </c>
    </row>
    <row r="350">
      <c r="A350" s="10" t="n">
        <v>349</v>
      </c>
      <c r="B350" s="11" t="inlineStr">
        <is>
          <t>安侯建業聯合會計師事務所</t>
        </is>
      </c>
      <c r="C350" s="11" t="inlineStr">
        <is>
          <t>KPMG 安侯建業</t>
        </is>
      </c>
      <c r="D350" s="11" t="inlineStr">
        <is>
          <t>李慈慧</t>
        </is>
      </c>
      <c r="E350" s="10" t="inlineStr">
        <is>
          <t>台北總所</t>
        </is>
      </c>
      <c r="F350" s="12" t="inlineStr">
        <is>
          <t>台北市信義區信義路五段7號68樓</t>
        </is>
      </c>
      <c r="G350" s="12" t="inlineStr">
        <is>
          <t>台北市信義區信義路五段7號68樓</t>
        </is>
      </c>
      <c r="H350" s="12" t="inlineStr"/>
      <c r="I350" s="10" t="inlineStr"/>
      <c r="J350" s="11" t="inlineStr"/>
      <c r="K350" s="10" t="inlineStr">
        <is>
          <t>北市</t>
        </is>
      </c>
      <c r="L350" s="10" t="inlineStr">
        <is>
          <t>085/12/31</t>
        </is>
      </c>
      <c r="M350" s="10" t="inlineStr">
        <is>
          <t>1888</t>
        </is>
      </c>
      <c r="N350" s="10" t="inlineStr">
        <is>
          <t>2026-06-05</t>
        </is>
      </c>
      <c r="O350" s="11" t="inlineStr">
        <is>
          <t>https://www.roccpa.org.tw/member_search/more?id=B1E3373C-27A8-49C7-9F2A-1B9441715A61</t>
        </is>
      </c>
    </row>
    <row r="351">
      <c r="A351" s="10" t="n">
        <v>350</v>
      </c>
      <c r="B351" s="11" t="inlineStr">
        <is>
          <t>安侯建業聯合會計師事務所</t>
        </is>
      </c>
      <c r="C351" s="11" t="inlineStr">
        <is>
          <t>KPMG 安侯建業</t>
        </is>
      </c>
      <c r="D351" s="11" t="inlineStr">
        <is>
          <t>李逢暉</t>
        </is>
      </c>
      <c r="E351" s="10" t="inlineStr">
        <is>
          <t>台北總所</t>
        </is>
      </c>
      <c r="F351" s="12" t="inlineStr">
        <is>
          <t>台北市信義區信義路五段7號68樓</t>
        </is>
      </c>
      <c r="G351" s="12" t="inlineStr">
        <is>
          <t>台北市信義區信義路五段7號68樓</t>
        </is>
      </c>
      <c r="H351" s="12" t="inlineStr"/>
      <c r="I351" s="10" t="inlineStr">
        <is>
          <t>100/03/14</t>
        </is>
      </c>
      <c r="J351" s="11" t="inlineStr">
        <is>
          <t>全聯會一字第1000092</t>
        </is>
      </c>
      <c r="K351" s="10" t="inlineStr">
        <is>
          <t>北市</t>
        </is>
      </c>
      <c r="L351" s="10" t="inlineStr">
        <is>
          <t>100/03/16</t>
        </is>
      </c>
      <c r="M351" s="10" t="inlineStr">
        <is>
          <t>3327</t>
        </is>
      </c>
      <c r="N351" s="10" t="inlineStr">
        <is>
          <t>2026-06-05</t>
        </is>
      </c>
      <c r="O351" s="11" t="inlineStr">
        <is>
          <t>https://www.roccpa.org.tw/member_search/more?id=72DAC401-2071-4F55-8382-DF8FC0B63908</t>
        </is>
      </c>
    </row>
    <row r="352">
      <c r="A352" s="10" t="n">
        <v>351</v>
      </c>
      <c r="B352" s="11" t="inlineStr">
        <is>
          <t>安侯建業聯合會計師事務所</t>
        </is>
      </c>
      <c r="C352" s="11" t="inlineStr">
        <is>
          <t>KPMG 安侯建業</t>
        </is>
      </c>
      <c r="D352" s="11" t="inlineStr">
        <is>
          <t>林佳伶</t>
        </is>
      </c>
      <c r="E352" s="10" t="inlineStr">
        <is>
          <t>台北總所</t>
        </is>
      </c>
      <c r="F352" s="12" t="inlineStr">
        <is>
          <t>台北市信義區信義路五段7號68樓</t>
        </is>
      </c>
      <c r="G352" s="12" t="inlineStr">
        <is>
          <t>台北市信義區信義路五段7號68樓</t>
        </is>
      </c>
      <c r="H352" s="12" t="inlineStr"/>
      <c r="I352" s="10" t="inlineStr">
        <is>
          <t>114/10/03</t>
        </is>
      </c>
      <c r="J352" s="11" t="inlineStr">
        <is>
          <t>全聯會一字第1140000487號</t>
        </is>
      </c>
      <c r="K352" s="10" t="inlineStr">
        <is>
          <t>北市</t>
        </is>
      </c>
      <c r="L352" s="10" t="inlineStr">
        <is>
          <t>114/10/03</t>
        </is>
      </c>
      <c r="M352" s="10" t="inlineStr">
        <is>
          <t>4843</t>
        </is>
      </c>
      <c r="N352" s="10" t="inlineStr">
        <is>
          <t>2026-06-05</t>
        </is>
      </c>
      <c r="O352" s="11" t="inlineStr">
        <is>
          <t>https://www.roccpa.org.tw/member_search/more?id=0D0EA596-7040-4052-A94F-576A891ADD80</t>
        </is>
      </c>
    </row>
    <row r="353">
      <c r="A353" s="10" t="n">
        <v>352</v>
      </c>
      <c r="B353" s="11" t="inlineStr">
        <is>
          <t>安侯建業聯合會計師事務所</t>
        </is>
      </c>
      <c r="C353" s="11" t="inlineStr">
        <is>
          <t>KPMG 安侯建業</t>
        </is>
      </c>
      <c r="D353" s="11" t="inlineStr">
        <is>
          <t>林倚聰</t>
        </is>
      </c>
      <c r="E353" s="10" t="inlineStr">
        <is>
          <t>台北總所</t>
        </is>
      </c>
      <c r="F353" s="12" t="inlineStr">
        <is>
          <t>台北市信義區信義路五段7號68樓</t>
        </is>
      </c>
      <c r="G353" s="12" t="inlineStr">
        <is>
          <t>台北市信義區信義路五段7號68樓</t>
        </is>
      </c>
      <c r="H353" s="12" t="inlineStr"/>
      <c r="I353" s="10" t="inlineStr">
        <is>
          <t>111/06/13</t>
        </is>
      </c>
      <c r="J353" s="11" t="inlineStr">
        <is>
          <t>全聯會一字第1110225</t>
        </is>
      </c>
      <c r="K353" s="10" t="inlineStr">
        <is>
          <t>北市</t>
        </is>
      </c>
      <c r="L353" s="10" t="inlineStr">
        <is>
          <t>111/06/13</t>
        </is>
      </c>
      <c r="M353" s="10" t="inlineStr">
        <is>
          <t>4437</t>
        </is>
      </c>
      <c r="N353" s="10" t="inlineStr">
        <is>
          <t>2026-06-05</t>
        </is>
      </c>
      <c r="O353" s="11" t="inlineStr">
        <is>
          <t>https://www.roccpa.org.tw/member_search/more?id=346545FF-726C-4F07-87E1-44675DB8E190</t>
        </is>
      </c>
    </row>
    <row r="354">
      <c r="A354" s="10" t="n">
        <v>353</v>
      </c>
      <c r="B354" s="11" t="inlineStr">
        <is>
          <t>安侯建業聯合會計師事務所</t>
        </is>
      </c>
      <c r="C354" s="11" t="inlineStr">
        <is>
          <t>KPMG 安侯建業</t>
        </is>
      </c>
      <c r="D354" s="11" t="inlineStr">
        <is>
          <t>林君彬</t>
        </is>
      </c>
      <c r="E354" s="10" t="inlineStr">
        <is>
          <t>台北總所</t>
        </is>
      </c>
      <c r="F354" s="12" t="inlineStr">
        <is>
          <t>台北市信義區信義路五段7號68樓</t>
        </is>
      </c>
      <c r="G354" s="12" t="inlineStr">
        <is>
          <t>台北市信義區信義路五段7號68樓</t>
        </is>
      </c>
      <c r="H354" s="12" t="inlineStr"/>
      <c r="I354" s="10" t="inlineStr">
        <is>
          <t>114/10/03</t>
        </is>
      </c>
      <c r="J354" s="11" t="inlineStr">
        <is>
          <t>全聯會一字第1140000489號</t>
        </is>
      </c>
      <c r="K354" s="10" t="inlineStr">
        <is>
          <t>北市</t>
        </is>
      </c>
      <c r="L354" s="10" t="inlineStr">
        <is>
          <t>114/10/03</t>
        </is>
      </c>
      <c r="M354" s="10" t="inlineStr">
        <is>
          <t>4845</t>
        </is>
      </c>
      <c r="N354" s="10" t="inlineStr">
        <is>
          <t>2026-06-05</t>
        </is>
      </c>
      <c r="O354" s="11" t="inlineStr">
        <is>
          <t>https://www.roccpa.org.tw/member_search/more?id=B059D6B6-143D-4488-A59B-4D06A1230DCA</t>
        </is>
      </c>
    </row>
    <row r="355">
      <c r="A355" s="10" t="n">
        <v>354</v>
      </c>
      <c r="B355" s="11" t="inlineStr">
        <is>
          <t>安侯建業聯合會計師事務所</t>
        </is>
      </c>
      <c r="C355" s="11" t="inlineStr">
        <is>
          <t>KPMG 安侯建業</t>
        </is>
      </c>
      <c r="D355" s="11" t="inlineStr">
        <is>
          <t>林恒昇</t>
        </is>
      </c>
      <c r="E355" s="10" t="inlineStr">
        <is>
          <t>台北總所</t>
        </is>
      </c>
      <c r="F355" s="12" t="inlineStr">
        <is>
          <t>台北市信義區信義路五段7號68樓</t>
        </is>
      </c>
      <c r="G355" s="12" t="inlineStr">
        <is>
          <t>台北市信義區信義路五段7號68樓</t>
        </is>
      </c>
      <c r="H355" s="12" t="inlineStr"/>
      <c r="I355" s="10" t="inlineStr"/>
      <c r="J355" s="11" t="inlineStr"/>
      <c r="K355" s="10" t="inlineStr">
        <is>
          <t>北市</t>
        </is>
      </c>
      <c r="L355" s="10" t="inlineStr">
        <is>
          <t>086/12/17</t>
        </is>
      </c>
      <c r="M355" s="10" t="inlineStr">
        <is>
          <t>1992</t>
        </is>
      </c>
      <c r="N355" s="10" t="inlineStr">
        <is>
          <t>2026-06-05</t>
        </is>
      </c>
      <c r="O355" s="11" t="inlineStr">
        <is>
          <t>https://www.roccpa.org.tw/member_search/more?id=3EF3AD4D-CCD7-4D06-BCE9-5A2B117970BA</t>
        </is>
      </c>
    </row>
    <row r="356">
      <c r="A356" s="10" t="n">
        <v>355</v>
      </c>
      <c r="B356" s="11" t="inlineStr">
        <is>
          <t>安侯建業聯合會計師事務所</t>
        </is>
      </c>
      <c r="C356" s="11" t="inlineStr">
        <is>
          <t>KPMG 安侯建業</t>
        </is>
      </c>
      <c r="D356" s="11" t="inlineStr">
        <is>
          <t>林棠妮</t>
        </is>
      </c>
      <c r="E356" s="10" t="inlineStr">
        <is>
          <t>台北總所</t>
        </is>
      </c>
      <c r="F356" s="12" t="inlineStr">
        <is>
          <t>台北市信義區信義路五段7號68樓</t>
        </is>
      </c>
      <c r="G356" s="12" t="inlineStr">
        <is>
          <t>台北市信義區信義路五段7號68樓</t>
        </is>
      </c>
      <c r="H356" s="12" t="inlineStr"/>
      <c r="I356" s="10" t="inlineStr">
        <is>
          <t>110/06/28</t>
        </is>
      </c>
      <c r="J356" s="11" t="inlineStr">
        <is>
          <t>全聯會一字第1100265</t>
        </is>
      </c>
      <c r="K356" s="10" t="inlineStr">
        <is>
          <t>北市</t>
        </is>
      </c>
      <c r="L356" s="10" t="inlineStr">
        <is>
          <t>110/06/28</t>
        </is>
      </c>
      <c r="M356" s="10" t="inlineStr">
        <is>
          <t>4355</t>
        </is>
      </c>
      <c r="N356" s="10" t="inlineStr">
        <is>
          <t>2026-06-05</t>
        </is>
      </c>
      <c r="O356" s="11" t="inlineStr">
        <is>
          <t>https://www.roccpa.org.tw/member_search/more?id=006B44B4-7539-4FEA-AC3A-74BB1B679C7B</t>
        </is>
      </c>
    </row>
    <row r="357">
      <c r="A357" s="10" t="n">
        <v>356</v>
      </c>
      <c r="B357" s="11" t="inlineStr">
        <is>
          <t>安侯建業聯合會計師事務所</t>
        </is>
      </c>
      <c r="C357" s="11" t="inlineStr">
        <is>
          <t>KPMG 安侯建業</t>
        </is>
      </c>
      <c r="D357" s="11" t="inlineStr">
        <is>
          <t>林琇宜</t>
        </is>
      </c>
      <c r="E357" s="10" t="inlineStr">
        <is>
          <t>台北總所</t>
        </is>
      </c>
      <c r="F357" s="12" t="inlineStr">
        <is>
          <t>台北市信義區信義路五段7號68樓</t>
        </is>
      </c>
      <c r="G357" s="12" t="inlineStr">
        <is>
          <t>台北市信義區信義路五段7號68樓</t>
        </is>
      </c>
      <c r="H357" s="12" t="inlineStr"/>
      <c r="I357" s="10" t="inlineStr"/>
      <c r="J357" s="11" t="inlineStr"/>
      <c r="K357" s="10" t="inlineStr">
        <is>
          <t>北市</t>
        </is>
      </c>
      <c r="L357" s="10" t="inlineStr">
        <is>
          <t>094/12/14</t>
        </is>
      </c>
      <c r="M357" s="10" t="inlineStr">
        <is>
          <t>2813</t>
        </is>
      </c>
      <c r="N357" s="10" t="inlineStr">
        <is>
          <t>2026-06-05</t>
        </is>
      </c>
      <c r="O357" s="11" t="inlineStr">
        <is>
          <t>https://www.roccpa.org.tw/member_search/more?id=9D8A7F23-5B98-4C8C-B247-F6727E4D955A</t>
        </is>
      </c>
    </row>
    <row r="358">
      <c r="A358" s="10" t="n">
        <v>357</v>
      </c>
      <c r="B358" s="11" t="inlineStr">
        <is>
          <t>安侯建業聯合會計師事務所</t>
        </is>
      </c>
      <c r="C358" s="11" t="inlineStr">
        <is>
          <t>KPMG 安侯建業</t>
        </is>
      </c>
      <c r="D358" s="11" t="inlineStr">
        <is>
          <t>柯有聰</t>
        </is>
      </c>
      <c r="E358" s="10" t="inlineStr">
        <is>
          <t>台北總所</t>
        </is>
      </c>
      <c r="F358" s="12" t="inlineStr">
        <is>
          <t>台北市信義區信義路五段7號68樓</t>
        </is>
      </c>
      <c r="G358" s="12" t="inlineStr">
        <is>
          <t>台北市信義區信義路五段7號68樓</t>
        </is>
      </c>
      <c r="H358" s="12" t="inlineStr"/>
      <c r="I358" s="10" t="inlineStr">
        <is>
          <t>110/01/27</t>
        </is>
      </c>
      <c r="J358" s="11" t="inlineStr">
        <is>
          <t>全聯會一字第1100045</t>
        </is>
      </c>
      <c r="K358" s="10" t="inlineStr">
        <is>
          <t>北市</t>
        </is>
      </c>
      <c r="L358" s="10" t="inlineStr">
        <is>
          <t>110/01/27</t>
        </is>
      </c>
      <c r="M358" s="10" t="inlineStr">
        <is>
          <t>4300</t>
        </is>
      </c>
      <c r="N358" s="10" t="inlineStr">
        <is>
          <t>2026-06-05</t>
        </is>
      </c>
      <c r="O358" s="11" t="inlineStr">
        <is>
          <t>https://www.roccpa.org.tw/member_search/more?id=ECA8D0D6-022B-49E9-BAE9-65919629B14A</t>
        </is>
      </c>
    </row>
    <row r="359">
      <c r="A359" s="10" t="n">
        <v>358</v>
      </c>
      <c r="B359" s="11" t="inlineStr">
        <is>
          <t>安侯建業聯合會計師事務所</t>
        </is>
      </c>
      <c r="C359" s="11" t="inlineStr">
        <is>
          <t>KPMG 安侯建業</t>
        </is>
      </c>
      <c r="D359" s="11" t="inlineStr">
        <is>
          <t>梅元貞</t>
        </is>
      </c>
      <c r="E359" s="10" t="inlineStr">
        <is>
          <t>台北總所</t>
        </is>
      </c>
      <c r="F359" s="12" t="inlineStr">
        <is>
          <t>台北市信義區信義路五段7號68樓</t>
        </is>
      </c>
      <c r="G359" s="12" t="inlineStr">
        <is>
          <t>台北市信義區信義路五段7號68樓</t>
        </is>
      </c>
      <c r="H359" s="12" t="inlineStr"/>
      <c r="I359" s="10" t="inlineStr"/>
      <c r="J359" s="11" t="inlineStr"/>
      <c r="K359" s="10" t="inlineStr">
        <is>
          <t>北市</t>
        </is>
      </c>
      <c r="L359" s="10" t="inlineStr">
        <is>
          <t>091/03/08</t>
        </is>
      </c>
      <c r="M359" s="10" t="inlineStr">
        <is>
          <t>2444</t>
        </is>
      </c>
      <c r="N359" s="10" t="inlineStr">
        <is>
          <t>2026-06-05</t>
        </is>
      </c>
      <c r="O359" s="11" t="inlineStr">
        <is>
          <t>https://www.roccpa.org.tw/member_search/more?id=EAEDFDBF-F6FE-4CF3-A9D6-DC44FEC6AD71</t>
        </is>
      </c>
    </row>
    <row r="360">
      <c r="A360" s="10" t="n">
        <v>359</v>
      </c>
      <c r="B360" s="11" t="inlineStr">
        <is>
          <t>安侯建業聯合會計師事務所</t>
        </is>
      </c>
      <c r="C360" s="11" t="inlineStr">
        <is>
          <t>KPMG 安侯建業</t>
        </is>
      </c>
      <c r="D360" s="11" t="inlineStr">
        <is>
          <t>楊樹芝</t>
        </is>
      </c>
      <c r="E360" s="10" t="inlineStr">
        <is>
          <t>台北總所</t>
        </is>
      </c>
      <c r="F360" s="12" t="inlineStr">
        <is>
          <t>台北市信義區信義路五段7號68樓</t>
        </is>
      </c>
      <c r="G360" s="12" t="inlineStr">
        <is>
          <t>台北市信義區信義路五段7號68樓</t>
        </is>
      </c>
      <c r="H360" s="12" t="inlineStr"/>
      <c r="I360" s="10" t="inlineStr">
        <is>
          <t>104/01/28</t>
        </is>
      </c>
      <c r="J360" s="11" t="inlineStr">
        <is>
          <t>全聯會一字第1040057</t>
        </is>
      </c>
      <c r="K360" s="10" t="inlineStr">
        <is>
          <t>北市</t>
        </is>
      </c>
      <c r="L360" s="10" t="inlineStr">
        <is>
          <t>104/02/04</t>
        </is>
      </c>
      <c r="M360" s="10" t="inlineStr">
        <is>
          <t>3788</t>
        </is>
      </c>
      <c r="N360" s="10" t="inlineStr">
        <is>
          <t>2026-06-05</t>
        </is>
      </c>
      <c r="O360" s="11" t="inlineStr">
        <is>
          <t>https://www.roccpa.org.tw/member_search/more?id=338CFD76-7DFF-4E3F-9267-F2B4BA1EFD24</t>
        </is>
      </c>
    </row>
    <row r="361">
      <c r="A361" s="10" t="n">
        <v>360</v>
      </c>
      <c r="B361" s="11" t="inlineStr">
        <is>
          <t>安侯建業聯合會計師事務所</t>
        </is>
      </c>
      <c r="C361" s="11" t="inlineStr">
        <is>
          <t>KPMG 安侯建業</t>
        </is>
      </c>
      <c r="D361" s="11" t="inlineStr">
        <is>
          <t>楊雲筑</t>
        </is>
      </c>
      <c r="E361" s="10" t="inlineStr">
        <is>
          <t>台北總所</t>
        </is>
      </c>
      <c r="F361" s="12" t="inlineStr">
        <is>
          <t>台北市信義區信義路五段7號68樓</t>
        </is>
      </c>
      <c r="G361" s="12" t="inlineStr">
        <is>
          <t>台北市信義區信義路五段7號68樓</t>
        </is>
      </c>
      <c r="H361" s="12" t="inlineStr"/>
      <c r="I361" s="10" t="inlineStr">
        <is>
          <t>113/01/15</t>
        </is>
      </c>
      <c r="J361" s="11" t="inlineStr">
        <is>
          <t>全聯會一字第1130000029號</t>
        </is>
      </c>
      <c r="K361" s="10" t="inlineStr">
        <is>
          <t>北市</t>
        </is>
      </c>
      <c r="L361" s="10" t="inlineStr">
        <is>
          <t>113/01/15</t>
        </is>
      </c>
      <c r="M361" s="10" t="inlineStr">
        <is>
          <t>4592</t>
        </is>
      </c>
      <c r="N361" s="10" t="inlineStr">
        <is>
          <t>2026-06-05</t>
        </is>
      </c>
      <c r="O361" s="11" t="inlineStr">
        <is>
          <t>https://www.roccpa.org.tw/member_search/more?id=53CA76D6-6B51-4A86-955D-CA50EA169431</t>
        </is>
      </c>
    </row>
    <row r="362">
      <c r="A362" s="10" t="n">
        <v>361</v>
      </c>
      <c r="B362" s="11" t="inlineStr">
        <is>
          <t>安侯建業聯合會計師事務所</t>
        </is>
      </c>
      <c r="C362" s="11" t="inlineStr">
        <is>
          <t>KPMG 安侯建業</t>
        </is>
      </c>
      <c r="D362" s="11" t="inlineStr">
        <is>
          <t>毛聖崴</t>
        </is>
      </c>
      <c r="E362" s="10" t="inlineStr">
        <is>
          <t>台北總所</t>
        </is>
      </c>
      <c r="F362" s="12" t="inlineStr">
        <is>
          <t>台北市信義區信義路五段7號68樓</t>
        </is>
      </c>
      <c r="G362" s="12" t="inlineStr">
        <is>
          <t>台北市信義區信義路五段7號68樓</t>
        </is>
      </c>
      <c r="H362" s="12" t="inlineStr"/>
      <c r="I362" s="10" t="inlineStr">
        <is>
          <t>114/10/03</t>
        </is>
      </c>
      <c r="J362" s="11" t="inlineStr">
        <is>
          <t>全聯會一字第1140000491號</t>
        </is>
      </c>
      <c r="K362" s="10" t="inlineStr">
        <is>
          <t>北市</t>
        </is>
      </c>
      <c r="L362" s="10" t="inlineStr">
        <is>
          <t>114/10/03</t>
        </is>
      </c>
      <c r="M362" s="10" t="inlineStr">
        <is>
          <t>4847</t>
        </is>
      </c>
      <c r="N362" s="10" t="inlineStr">
        <is>
          <t>2026-06-05</t>
        </is>
      </c>
      <c r="O362" s="11" t="inlineStr">
        <is>
          <t>https://www.roccpa.org.tw/member_search/more?id=7A2F1C7D-FBCA-4850-9F22-9A1A5813DB09</t>
        </is>
      </c>
    </row>
    <row r="363">
      <c r="A363" s="10" t="n">
        <v>362</v>
      </c>
      <c r="B363" s="11" t="inlineStr">
        <is>
          <t>安侯建業聯合會計師事務所</t>
        </is>
      </c>
      <c r="C363" s="11" t="inlineStr">
        <is>
          <t>KPMG 安侯建業</t>
        </is>
      </c>
      <c r="D363" s="11" t="inlineStr">
        <is>
          <t>江家齊</t>
        </is>
      </c>
      <c r="E363" s="10" t="inlineStr">
        <is>
          <t>台北總所</t>
        </is>
      </c>
      <c r="F363" s="12" t="inlineStr">
        <is>
          <t>台北市信義區信義路五段7號68樓</t>
        </is>
      </c>
      <c r="G363" s="12" t="inlineStr">
        <is>
          <t>台北市信義區信義路五段7號68樓</t>
        </is>
      </c>
      <c r="H363" s="12" t="inlineStr"/>
      <c r="I363" s="10" t="inlineStr">
        <is>
          <t>112/02/06</t>
        </is>
      </c>
      <c r="J363" s="11" t="inlineStr">
        <is>
          <t>全聯會一字第1120069</t>
        </is>
      </c>
      <c r="K363" s="10" t="inlineStr">
        <is>
          <t>北市</t>
        </is>
      </c>
      <c r="L363" s="10" t="inlineStr">
        <is>
          <t>112/02/06</t>
        </is>
      </c>
      <c r="M363" s="10" t="inlineStr">
        <is>
          <t>4499</t>
        </is>
      </c>
      <c r="N363" s="10" t="inlineStr">
        <is>
          <t>2026-06-05</t>
        </is>
      </c>
      <c r="O363" s="11" t="inlineStr">
        <is>
          <t>https://www.roccpa.org.tw/member_search/more?id=3A4E76B5-F549-4FE1-8779-A1F6FFD7A62D</t>
        </is>
      </c>
    </row>
    <row r="364">
      <c r="A364" s="10" t="n">
        <v>363</v>
      </c>
      <c r="B364" s="11" t="inlineStr">
        <is>
          <t>安侯建業聯合會計師事務所</t>
        </is>
      </c>
      <c r="C364" s="11" t="inlineStr">
        <is>
          <t>KPMG 安侯建業</t>
        </is>
      </c>
      <c r="D364" s="11" t="inlineStr">
        <is>
          <t>江曉苓</t>
        </is>
      </c>
      <c r="E364" s="10" t="inlineStr">
        <is>
          <t>台北總所</t>
        </is>
      </c>
      <c r="F364" s="12" t="inlineStr">
        <is>
          <t>台北市信義區信義路五段7號68樓</t>
        </is>
      </c>
      <c r="G364" s="12" t="inlineStr">
        <is>
          <t>台北市信義區信義路五段7號68樓</t>
        </is>
      </c>
      <c r="H364" s="12" t="inlineStr"/>
      <c r="I364" s="10" t="inlineStr">
        <is>
          <t>108/01/14</t>
        </is>
      </c>
      <c r="J364" s="11" t="inlineStr">
        <is>
          <t>全聯會一字第1080037</t>
        </is>
      </c>
      <c r="K364" s="10" t="inlineStr">
        <is>
          <t>北市</t>
        </is>
      </c>
      <c r="L364" s="10" t="inlineStr">
        <is>
          <t>108/01/14</t>
        </is>
      </c>
      <c r="M364" s="10" t="inlineStr">
        <is>
          <t>4152</t>
        </is>
      </c>
      <c r="N364" s="10" t="inlineStr">
        <is>
          <t>2026-06-05</t>
        </is>
      </c>
      <c r="O364" s="11" t="inlineStr">
        <is>
          <t>https://www.roccpa.org.tw/member_search/more?id=211AF554-7461-401F-B733-7C5A8A949155</t>
        </is>
      </c>
    </row>
    <row r="365">
      <c r="A365" s="10" t="n">
        <v>364</v>
      </c>
      <c r="B365" s="11" t="inlineStr">
        <is>
          <t>安侯建業聯合會計師事務所</t>
        </is>
      </c>
      <c r="C365" s="11" t="inlineStr">
        <is>
          <t>KPMG 安侯建業</t>
        </is>
      </c>
      <c r="D365" s="11" t="inlineStr">
        <is>
          <t>池世欽</t>
        </is>
      </c>
      <c r="E365" s="10" t="inlineStr">
        <is>
          <t>台北總所</t>
        </is>
      </c>
      <c r="F365" s="12" t="inlineStr">
        <is>
          <t>台北市信義區信義路五段7號68樓</t>
        </is>
      </c>
      <c r="G365" s="12" t="inlineStr">
        <is>
          <t>台北市信義區信義路五段7號68樓</t>
        </is>
      </c>
      <c r="H365" s="12" t="inlineStr"/>
      <c r="I365" s="10" t="inlineStr">
        <is>
          <t>101/12/26</t>
        </is>
      </c>
      <c r="J365" s="11" t="inlineStr">
        <is>
          <t>全聯會一字第1010466</t>
        </is>
      </c>
      <c r="K365" s="10" t="inlineStr">
        <is>
          <t>北市</t>
        </is>
      </c>
      <c r="L365" s="10" t="inlineStr">
        <is>
          <t>101/12/27</t>
        </is>
      </c>
      <c r="M365" s="10" t="inlineStr">
        <is>
          <t>3530</t>
        </is>
      </c>
      <c r="N365" s="10" t="inlineStr">
        <is>
          <t>2026-06-05</t>
        </is>
      </c>
      <c r="O365" s="11" t="inlineStr">
        <is>
          <t>https://www.roccpa.org.tw/member_search/more?id=0A9F12B8-1059-4D9E-BA54-315C11A1CC5A</t>
        </is>
      </c>
    </row>
    <row r="366">
      <c r="A366" s="10" t="n">
        <v>365</v>
      </c>
      <c r="B366" s="11" t="inlineStr">
        <is>
          <t>安侯建業聯合會計師事務所</t>
        </is>
      </c>
      <c r="C366" s="11" t="inlineStr">
        <is>
          <t>KPMG 安侯建業</t>
        </is>
      </c>
      <c r="D366" s="11" t="inlineStr">
        <is>
          <t>洪士剛</t>
        </is>
      </c>
      <c r="E366" s="10" t="inlineStr">
        <is>
          <t>台北總所</t>
        </is>
      </c>
      <c r="F366" s="12" t="inlineStr">
        <is>
          <t>台北市信義區信義路五段7號68樓</t>
        </is>
      </c>
      <c r="G366" s="12" t="inlineStr">
        <is>
          <t>台北市信義區信義路五段7號68樓</t>
        </is>
      </c>
      <c r="H366" s="12" t="inlineStr"/>
      <c r="I366" s="10" t="inlineStr">
        <is>
          <t>111/02/07</t>
        </is>
      </c>
      <c r="J366" s="11" t="inlineStr">
        <is>
          <t>全聯會一字第1110067</t>
        </is>
      </c>
      <c r="K366" s="10" t="inlineStr">
        <is>
          <t>北市</t>
        </is>
      </c>
      <c r="L366" s="10" t="inlineStr">
        <is>
          <t>111/02/07</t>
        </is>
      </c>
      <c r="M366" s="10" t="inlineStr">
        <is>
          <t>4397</t>
        </is>
      </c>
      <c r="N366" s="10" t="inlineStr">
        <is>
          <t>2026-06-05</t>
        </is>
      </c>
      <c r="O366" s="11" t="inlineStr">
        <is>
          <t>https://www.roccpa.org.tw/member_search/more?id=46FBDD0B-ACC6-473D-ACB4-9270C3620927</t>
        </is>
      </c>
    </row>
    <row r="367">
      <c r="A367" s="10" t="n">
        <v>366</v>
      </c>
      <c r="B367" s="11" t="inlineStr">
        <is>
          <t>安侯建業聯合會計師事務所</t>
        </is>
      </c>
      <c r="C367" s="11" t="inlineStr">
        <is>
          <t>KPMG 安侯建業</t>
        </is>
      </c>
      <c r="D367" s="11" t="inlineStr">
        <is>
          <t>洪銘鴻</t>
        </is>
      </c>
      <c r="E367" s="10" t="inlineStr">
        <is>
          <t>台北總所</t>
        </is>
      </c>
      <c r="F367" s="12" t="inlineStr">
        <is>
          <t>台北市信義區信義路五段7號68樓</t>
        </is>
      </c>
      <c r="G367" s="12" t="inlineStr">
        <is>
          <t>台北市信義區信義路五段7號68樓</t>
        </is>
      </c>
      <c r="H367" s="12" t="inlineStr"/>
      <c r="I367" s="10" t="inlineStr">
        <is>
          <t>110/06/28</t>
        </is>
      </c>
      <c r="J367" s="11" t="inlineStr">
        <is>
          <t>全聯會一字第1100266</t>
        </is>
      </c>
      <c r="K367" s="10" t="inlineStr">
        <is>
          <t>北市</t>
        </is>
      </c>
      <c r="L367" s="10" t="inlineStr">
        <is>
          <t>110/06/28</t>
        </is>
      </c>
      <c r="M367" s="10" t="inlineStr">
        <is>
          <t>4356</t>
        </is>
      </c>
      <c r="N367" s="10" t="inlineStr">
        <is>
          <t>2026-06-05</t>
        </is>
      </c>
      <c r="O367" s="11" t="inlineStr">
        <is>
          <t>https://www.roccpa.org.tw/member_search/more?id=C29DEAE4-A08E-434A-B12B-F42A8F415AA7</t>
        </is>
      </c>
    </row>
    <row r="368">
      <c r="A368" s="10" t="n">
        <v>367</v>
      </c>
      <c r="B368" s="11" t="inlineStr">
        <is>
          <t>安侯建業聯合會計師事務所</t>
        </is>
      </c>
      <c r="C368" s="11" t="inlineStr">
        <is>
          <t>KPMG 安侯建業</t>
        </is>
      </c>
      <c r="D368" s="11" t="inlineStr">
        <is>
          <t>游雅絜</t>
        </is>
      </c>
      <c r="E368" s="10" t="inlineStr">
        <is>
          <t>台北總所</t>
        </is>
      </c>
      <c r="F368" s="12" t="inlineStr">
        <is>
          <t>台北市信義區信義路五段7號68樓</t>
        </is>
      </c>
      <c r="G368" s="12" t="inlineStr">
        <is>
          <t>台北市信義區信義路五段7號68樓</t>
        </is>
      </c>
      <c r="H368" s="12" t="inlineStr"/>
      <c r="I368" s="10" t="inlineStr">
        <is>
          <t>108/07/08</t>
        </is>
      </c>
      <c r="J368" s="11" t="inlineStr">
        <is>
          <t>全聯會一字第1080254</t>
        </is>
      </c>
      <c r="K368" s="10" t="inlineStr">
        <is>
          <t>北市</t>
        </is>
      </c>
      <c r="L368" s="10" t="inlineStr">
        <is>
          <t>108/07/08</t>
        </is>
      </c>
      <c r="M368" s="10" t="inlineStr">
        <is>
          <t>4180</t>
        </is>
      </c>
      <c r="N368" s="10" t="inlineStr">
        <is>
          <t>2026-06-05</t>
        </is>
      </c>
      <c r="O368" s="11" t="inlineStr">
        <is>
          <t>https://www.roccpa.org.tw/member_search/more?id=89384992-1693-4FEF-9717-5F5F4AF27F44</t>
        </is>
      </c>
    </row>
    <row r="369">
      <c r="A369" s="10" t="n">
        <v>368</v>
      </c>
      <c r="B369" s="11" t="inlineStr">
        <is>
          <t>安侯建業聯合會計師事務所</t>
        </is>
      </c>
      <c r="C369" s="11" t="inlineStr">
        <is>
          <t>KPMG 安侯建業</t>
        </is>
      </c>
      <c r="D369" s="11" t="inlineStr">
        <is>
          <t>潘俊名</t>
        </is>
      </c>
      <c r="E369" s="10" t="inlineStr">
        <is>
          <t>台北總所</t>
        </is>
      </c>
      <c r="F369" s="12" t="inlineStr">
        <is>
          <t>台北市信義區信義路五段7號68樓</t>
        </is>
      </c>
      <c r="G369" s="12" t="inlineStr">
        <is>
          <t>台北市信義區信義路五段7號68樓</t>
        </is>
      </c>
      <c r="H369" s="12" t="inlineStr"/>
      <c r="I369" s="10" t="inlineStr">
        <is>
          <t>111/02/07</t>
        </is>
      </c>
      <c r="J369" s="11" t="inlineStr">
        <is>
          <t>全聯會一字第1110069</t>
        </is>
      </c>
      <c r="K369" s="10" t="inlineStr">
        <is>
          <t>北市</t>
        </is>
      </c>
      <c r="L369" s="10" t="inlineStr">
        <is>
          <t>111/02/07</t>
        </is>
      </c>
      <c r="M369" s="10" t="inlineStr">
        <is>
          <t>4399</t>
        </is>
      </c>
      <c r="N369" s="10" t="inlineStr">
        <is>
          <t>2026-06-05</t>
        </is>
      </c>
      <c r="O369" s="11" t="inlineStr">
        <is>
          <t>https://www.roccpa.org.tw/member_search/more?id=3955E203-0130-476E-A5AD-02599653CFBF</t>
        </is>
      </c>
    </row>
    <row r="370">
      <c r="A370" s="10" t="n">
        <v>369</v>
      </c>
      <c r="B370" s="11" t="inlineStr">
        <is>
          <t>安侯建業聯合會計師事務所</t>
        </is>
      </c>
      <c r="C370" s="11" t="inlineStr">
        <is>
          <t>KPMG 安侯建業</t>
        </is>
      </c>
      <c r="D370" s="11" t="inlineStr">
        <is>
          <t>王勇勝</t>
        </is>
      </c>
      <c r="E370" s="10" t="inlineStr">
        <is>
          <t>台北總所</t>
        </is>
      </c>
      <c r="F370" s="12" t="inlineStr">
        <is>
          <t>台北市信義區信義路五段7號68樓</t>
        </is>
      </c>
      <c r="G370" s="12" t="inlineStr">
        <is>
          <t>台北市信義區信義路五段7號68樓</t>
        </is>
      </c>
      <c r="H370" s="12" t="inlineStr"/>
      <c r="I370" s="10" t="inlineStr">
        <is>
          <t>104/03/10</t>
        </is>
      </c>
      <c r="J370" s="11" t="inlineStr">
        <is>
          <t>全聯會一字第1040096</t>
        </is>
      </c>
      <c r="K370" s="10" t="inlineStr">
        <is>
          <t>北市</t>
        </is>
      </c>
      <c r="L370" s="10" t="inlineStr">
        <is>
          <t>104/04/13</t>
        </is>
      </c>
      <c r="M370" s="10" t="inlineStr">
        <is>
          <t>3823</t>
        </is>
      </c>
      <c r="N370" s="10" t="inlineStr">
        <is>
          <t>2026-06-05</t>
        </is>
      </c>
      <c r="O370" s="11" t="inlineStr">
        <is>
          <t>https://www.roccpa.org.tw/member_search/more?id=06544F66-030B-4CEC-B9C6-E35426286359</t>
        </is>
      </c>
    </row>
    <row r="371">
      <c r="A371" s="10" t="n">
        <v>370</v>
      </c>
      <c r="B371" s="11" t="inlineStr">
        <is>
          <t>安侯建業聯合會計師事務所</t>
        </is>
      </c>
      <c r="C371" s="11" t="inlineStr">
        <is>
          <t>KPMG 安侯建業</t>
        </is>
      </c>
      <c r="D371" s="11" t="inlineStr">
        <is>
          <t>王怡文</t>
        </is>
      </c>
      <c r="E371" s="10" t="inlineStr">
        <is>
          <t>台北總所</t>
        </is>
      </c>
      <c r="F371" s="12" t="inlineStr">
        <is>
          <t>台北市信義區信義路五段7號68樓</t>
        </is>
      </c>
      <c r="G371" s="12" t="inlineStr">
        <is>
          <t>台北市信義區信義路五段7號68樓</t>
        </is>
      </c>
      <c r="H371" s="12" t="inlineStr"/>
      <c r="I371" s="10" t="inlineStr">
        <is>
          <t>099/02/25</t>
        </is>
      </c>
      <c r="J371" s="11" t="inlineStr">
        <is>
          <t>全聯會一字第09900144</t>
        </is>
      </c>
      <c r="K371" s="10" t="inlineStr">
        <is>
          <t>北市</t>
        </is>
      </c>
      <c r="L371" s="10" t="inlineStr">
        <is>
          <t>099/03/16</t>
        </is>
      </c>
      <c r="M371" s="10" t="inlineStr">
        <is>
          <t>3200</t>
        </is>
      </c>
      <c r="N371" s="10" t="inlineStr">
        <is>
          <t>2026-06-05</t>
        </is>
      </c>
      <c r="O371" s="11" t="inlineStr">
        <is>
          <t>https://www.roccpa.org.tw/member_search/more?id=BAC30F0D-EE58-466A-9780-9FC44C56568A</t>
        </is>
      </c>
    </row>
    <row r="372">
      <c r="A372" s="10" t="n">
        <v>371</v>
      </c>
      <c r="B372" s="11" t="inlineStr">
        <is>
          <t>安侯建業聯合會計師事務所</t>
        </is>
      </c>
      <c r="C372" s="11" t="inlineStr">
        <is>
          <t>KPMG 安侯建業</t>
        </is>
      </c>
      <c r="D372" s="11" t="inlineStr">
        <is>
          <t>王美齡</t>
        </is>
      </c>
      <c r="E372" s="10" t="inlineStr">
        <is>
          <t>台北總所</t>
        </is>
      </c>
      <c r="F372" s="12" t="inlineStr">
        <is>
          <t>台北市信義區信義路五段7號68樓</t>
        </is>
      </c>
      <c r="G372" s="12" t="inlineStr">
        <is>
          <t>台北市信義區信義路五段7號68樓</t>
        </is>
      </c>
      <c r="H372" s="12" t="inlineStr"/>
      <c r="I372" s="10" t="inlineStr">
        <is>
          <t>111/02/07</t>
        </is>
      </c>
      <c r="J372" s="11" t="inlineStr">
        <is>
          <t>全聯會一字第1110071</t>
        </is>
      </c>
      <c r="K372" s="10" t="inlineStr">
        <is>
          <t>北市</t>
        </is>
      </c>
      <c r="L372" s="10" t="inlineStr">
        <is>
          <t>111/02/07</t>
        </is>
      </c>
      <c r="M372" s="10" t="inlineStr">
        <is>
          <t>4401</t>
        </is>
      </c>
      <c r="N372" s="10" t="inlineStr">
        <is>
          <t>2026-06-05</t>
        </is>
      </c>
      <c r="O372" s="11" t="inlineStr">
        <is>
          <t>https://www.roccpa.org.tw/member_search/more?id=62EF3835-5AE7-4898-B0C2-D3AEEDC28BCB</t>
        </is>
      </c>
    </row>
    <row r="373">
      <c r="A373" s="10" t="n">
        <v>372</v>
      </c>
      <c r="B373" s="11" t="inlineStr">
        <is>
          <t>安侯建業聯合會計師事務所</t>
        </is>
      </c>
      <c r="C373" s="11" t="inlineStr">
        <is>
          <t>KPMG 安侯建業</t>
        </is>
      </c>
      <c r="D373" s="11" t="inlineStr">
        <is>
          <t>簡思娟</t>
        </is>
      </c>
      <c r="E373" s="10" t="inlineStr">
        <is>
          <t>台北總所</t>
        </is>
      </c>
      <c r="F373" s="12" t="inlineStr">
        <is>
          <t>台北市信義區信義路五段7號68樓</t>
        </is>
      </c>
      <c r="G373" s="12" t="inlineStr">
        <is>
          <t>台北市信義區信義路五段7號68樓</t>
        </is>
      </c>
      <c r="H373" s="12" t="inlineStr"/>
      <c r="I373" s="10" t="inlineStr">
        <is>
          <t>107/02/05</t>
        </is>
      </c>
      <c r="J373" s="11" t="inlineStr">
        <is>
          <t>全聯會一字第1070075</t>
        </is>
      </c>
      <c r="K373" s="10" t="inlineStr">
        <is>
          <t>北市</t>
        </is>
      </c>
      <c r="L373" s="10" t="inlineStr">
        <is>
          <t>107/02/05</t>
        </is>
      </c>
      <c r="M373" s="10" t="inlineStr">
        <is>
          <t>4072</t>
        </is>
      </c>
      <c r="N373" s="10" t="inlineStr">
        <is>
          <t>2026-06-05</t>
        </is>
      </c>
      <c r="O373" s="11" t="inlineStr">
        <is>
          <t>https://www.roccpa.org.tw/member_search/more?id=711B52F6-066C-4E8E-919B-C5A6A2624D97</t>
        </is>
      </c>
    </row>
    <row r="374">
      <c r="A374" s="10" t="n">
        <v>373</v>
      </c>
      <c r="B374" s="11" t="inlineStr">
        <is>
          <t>安侯建業聯合會計師事務所</t>
        </is>
      </c>
      <c r="C374" s="11" t="inlineStr">
        <is>
          <t>KPMG 安侯建業</t>
        </is>
      </c>
      <c r="D374" s="11" t="inlineStr">
        <is>
          <t>紀孟君</t>
        </is>
      </c>
      <c r="E374" s="10" t="inlineStr">
        <is>
          <t>台北總所</t>
        </is>
      </c>
      <c r="F374" s="12" t="inlineStr">
        <is>
          <t>台北市信義區信義路五段7號68樓</t>
        </is>
      </c>
      <c r="G374" s="12" t="inlineStr">
        <is>
          <t>台北市信義區信義路五段7號68樓</t>
        </is>
      </c>
      <c r="H374" s="12" t="inlineStr"/>
      <c r="I374" s="10" t="inlineStr">
        <is>
          <t>114/01/13</t>
        </is>
      </c>
      <c r="J374" s="11" t="inlineStr">
        <is>
          <t>全聯會一字第1140000035號</t>
        </is>
      </c>
      <c r="K374" s="10" t="inlineStr">
        <is>
          <t>北市</t>
        </is>
      </c>
      <c r="L374" s="10" t="inlineStr">
        <is>
          <t>114/01/13</t>
        </is>
      </c>
      <c r="M374" s="10" t="inlineStr">
        <is>
          <t>4691</t>
        </is>
      </c>
      <c r="N374" s="10" t="inlineStr">
        <is>
          <t>2026-06-05</t>
        </is>
      </c>
      <c r="O374" s="11" t="inlineStr">
        <is>
          <t>https://www.roccpa.org.tw/member_search/more?id=501B2CFA-317F-4BB8-A823-146837F247EC</t>
        </is>
      </c>
    </row>
    <row r="375">
      <c r="A375" s="10" t="n">
        <v>374</v>
      </c>
      <c r="B375" s="11" t="inlineStr">
        <is>
          <t>安侯建業聯合會計師事務所</t>
        </is>
      </c>
      <c r="C375" s="11" t="inlineStr">
        <is>
          <t>KPMG 安侯建業</t>
        </is>
      </c>
      <c r="D375" s="11" t="inlineStr">
        <is>
          <t>羅瑞芝</t>
        </is>
      </c>
      <c r="E375" s="10" t="inlineStr">
        <is>
          <t>台北總所</t>
        </is>
      </c>
      <c r="F375" s="12" t="inlineStr">
        <is>
          <t>台北市信義區信義路五段7號68樓</t>
        </is>
      </c>
      <c r="G375" s="12" t="inlineStr">
        <is>
          <t>台北市信義區信義路五段7號68樓</t>
        </is>
      </c>
      <c r="H375" s="12" t="inlineStr"/>
      <c r="I375" s="10" t="inlineStr">
        <is>
          <t>112/02/06</t>
        </is>
      </c>
      <c r="J375" s="11" t="inlineStr">
        <is>
          <t>全聯會一字第1120066</t>
        </is>
      </c>
      <c r="K375" s="10" t="inlineStr">
        <is>
          <t>北市</t>
        </is>
      </c>
      <c r="L375" s="10" t="inlineStr">
        <is>
          <t>112/02/06</t>
        </is>
      </c>
      <c r="M375" s="10" t="inlineStr">
        <is>
          <t>4496</t>
        </is>
      </c>
      <c r="N375" s="10" t="inlineStr">
        <is>
          <t>2026-06-05</t>
        </is>
      </c>
      <c r="O375" s="11" t="inlineStr">
        <is>
          <t>https://www.roccpa.org.tw/member_search/more?id=08C1477D-9C1C-464B-92A8-9CE99C6936DF</t>
        </is>
      </c>
    </row>
    <row r="376">
      <c r="A376" s="10" t="n">
        <v>375</v>
      </c>
      <c r="B376" s="11" t="inlineStr">
        <is>
          <t>安侯建業聯合會計師事務所</t>
        </is>
      </c>
      <c r="C376" s="11" t="inlineStr">
        <is>
          <t>KPMG 安侯建業</t>
        </is>
      </c>
      <c r="D376" s="11" t="inlineStr">
        <is>
          <t>胡元森</t>
        </is>
      </c>
      <c r="E376" s="10" t="inlineStr">
        <is>
          <t>台北總所</t>
        </is>
      </c>
      <c r="F376" s="12" t="inlineStr">
        <is>
          <t>台北市信義區信義路五段7號68樓</t>
        </is>
      </c>
      <c r="G376" s="12" t="inlineStr">
        <is>
          <t>台北市信義區信義路五段7號68樓</t>
        </is>
      </c>
      <c r="H376" s="12" t="inlineStr"/>
      <c r="I376" s="10" t="inlineStr">
        <is>
          <t>107/07/10</t>
        </is>
      </c>
      <c r="J376" s="11" t="inlineStr">
        <is>
          <t>全聯會一字第1070296</t>
        </is>
      </c>
      <c r="K376" s="10" t="inlineStr">
        <is>
          <t>北市</t>
        </is>
      </c>
      <c r="L376" s="10" t="inlineStr">
        <is>
          <t>107/07/10</t>
        </is>
      </c>
      <c r="M376" s="10" t="inlineStr">
        <is>
          <t>4113</t>
        </is>
      </c>
      <c r="N376" s="10" t="inlineStr">
        <is>
          <t>2026-06-05</t>
        </is>
      </c>
      <c r="O376" s="11" t="inlineStr">
        <is>
          <t>https://www.roccpa.org.tw/member_search/more?id=0BF6A8FC-C854-4F92-A1F2-F9CE1E8FDD69</t>
        </is>
      </c>
    </row>
    <row r="377">
      <c r="A377" s="10" t="n">
        <v>376</v>
      </c>
      <c r="B377" s="11" t="inlineStr">
        <is>
          <t>安侯建業聯合會計師事務所</t>
        </is>
      </c>
      <c r="C377" s="11" t="inlineStr">
        <is>
          <t>KPMG 安侯建業</t>
        </is>
      </c>
      <c r="D377" s="11" t="inlineStr">
        <is>
          <t>莊鈞維</t>
        </is>
      </c>
      <c r="E377" s="10" t="inlineStr">
        <is>
          <t>台北總所</t>
        </is>
      </c>
      <c r="F377" s="12" t="inlineStr">
        <is>
          <t>台北市信義區信義路五段7號68樓</t>
        </is>
      </c>
      <c r="G377" s="12" t="inlineStr">
        <is>
          <t>台北市信義區信義路五段7號68樓</t>
        </is>
      </c>
      <c r="H377" s="12" t="inlineStr"/>
      <c r="I377" s="10" t="inlineStr">
        <is>
          <t>104/03/10</t>
        </is>
      </c>
      <c r="J377" s="11" t="inlineStr">
        <is>
          <t>全聯會一字第1040095</t>
        </is>
      </c>
      <c r="K377" s="10" t="inlineStr">
        <is>
          <t>北市</t>
        </is>
      </c>
      <c r="L377" s="10" t="inlineStr">
        <is>
          <t>104/04/13</t>
        </is>
      </c>
      <c r="M377" s="10" t="inlineStr">
        <is>
          <t>3824</t>
        </is>
      </c>
      <c r="N377" s="10" t="inlineStr">
        <is>
          <t>2026-06-05</t>
        </is>
      </c>
      <c r="O377" s="11" t="inlineStr">
        <is>
          <t>https://www.roccpa.org.tw/member_search/more?id=963CAB08-D780-4386-BD04-D39560B75F20</t>
        </is>
      </c>
    </row>
    <row r="378">
      <c r="A378" s="10" t="n">
        <v>377</v>
      </c>
      <c r="B378" s="11" t="inlineStr">
        <is>
          <t>安侯建業聯合會計師事務所</t>
        </is>
      </c>
      <c r="C378" s="11" t="inlineStr">
        <is>
          <t>KPMG 安侯建業</t>
        </is>
      </c>
      <c r="D378" s="11" t="inlineStr">
        <is>
          <t>葉建郎</t>
        </is>
      </c>
      <c r="E378" s="10" t="inlineStr">
        <is>
          <t>台北總所</t>
        </is>
      </c>
      <c r="F378" s="12" t="inlineStr">
        <is>
          <t>台北市信義區信義路五段7號68樓</t>
        </is>
      </c>
      <c r="G378" s="12" t="inlineStr">
        <is>
          <t>台北市信義區信義路五段7號68樓</t>
        </is>
      </c>
      <c r="H378" s="12" t="inlineStr"/>
      <c r="I378" s="10" t="inlineStr">
        <is>
          <t>111/06/13</t>
        </is>
      </c>
      <c r="J378" s="11" t="inlineStr">
        <is>
          <t>全聯會一字第1110223</t>
        </is>
      </c>
      <c r="K378" s="10" t="inlineStr">
        <is>
          <t>北市</t>
        </is>
      </c>
      <c r="L378" s="10" t="inlineStr">
        <is>
          <t>111/06/13</t>
        </is>
      </c>
      <c r="M378" s="10" t="inlineStr">
        <is>
          <t>4435</t>
        </is>
      </c>
      <c r="N378" s="10" t="inlineStr">
        <is>
          <t>2026-06-05</t>
        </is>
      </c>
      <c r="O378" s="11" t="inlineStr">
        <is>
          <t>https://www.roccpa.org.tw/member_search/more?id=0023BE09-2122-4FF1-A3D5-C4125A869F1A</t>
        </is>
      </c>
    </row>
    <row r="379">
      <c r="A379" s="10" t="n">
        <v>378</v>
      </c>
      <c r="B379" s="11" t="inlineStr">
        <is>
          <t>安侯建業聯合會計師事務所</t>
        </is>
      </c>
      <c r="C379" s="11" t="inlineStr">
        <is>
          <t>KPMG 安侯建業</t>
        </is>
      </c>
      <c r="D379" s="11" t="inlineStr">
        <is>
          <t>蔡佩汝</t>
        </is>
      </c>
      <c r="E379" s="10" t="inlineStr">
        <is>
          <t>台北總所</t>
        </is>
      </c>
      <c r="F379" s="12" t="inlineStr">
        <is>
          <t>台北市信義區信義路五段7號68樓</t>
        </is>
      </c>
      <c r="G379" s="12" t="inlineStr">
        <is>
          <t>台北市信義區信義路五段7號68樓</t>
        </is>
      </c>
      <c r="H379" s="12" t="inlineStr"/>
      <c r="I379" s="10" t="inlineStr">
        <is>
          <t>111/02/07</t>
        </is>
      </c>
      <c r="J379" s="11" t="inlineStr">
        <is>
          <t>全聯會一字第1110068</t>
        </is>
      </c>
      <c r="K379" s="10" t="inlineStr">
        <is>
          <t>北市</t>
        </is>
      </c>
      <c r="L379" s="10" t="inlineStr">
        <is>
          <t>111/02/07</t>
        </is>
      </c>
      <c r="M379" s="10" t="inlineStr">
        <is>
          <t>4398</t>
        </is>
      </c>
      <c r="N379" s="10" t="inlineStr">
        <is>
          <t>2026-06-05</t>
        </is>
      </c>
      <c r="O379" s="11" t="inlineStr">
        <is>
          <t>https://www.roccpa.org.tw/member_search/more?id=7AB06983-C2F3-45CE-8FA9-86F144745150</t>
        </is>
      </c>
    </row>
    <row r="380">
      <c r="A380" s="10" t="n">
        <v>379</v>
      </c>
      <c r="B380" s="11" t="inlineStr">
        <is>
          <t>安侯建業聯合會計師事務所</t>
        </is>
      </c>
      <c r="C380" s="11" t="inlineStr">
        <is>
          <t>KPMG 安侯建業</t>
        </is>
      </c>
      <c r="D380" s="11" t="inlineStr">
        <is>
          <t>蔡孟娟</t>
        </is>
      </c>
      <c r="E380" s="10" t="inlineStr">
        <is>
          <t>台北總所</t>
        </is>
      </c>
      <c r="F380" s="12" t="inlineStr">
        <is>
          <t>台北市信義區信義路五段7號68樓</t>
        </is>
      </c>
      <c r="G380" s="12" t="inlineStr">
        <is>
          <t>台北市信義區信義路五段7號68樓</t>
        </is>
      </c>
      <c r="H380" s="12" t="inlineStr"/>
      <c r="I380" s="10" t="inlineStr">
        <is>
          <t>114/01/13</t>
        </is>
      </c>
      <c r="J380" s="11" t="inlineStr">
        <is>
          <t>全聯會一字第1140000034號</t>
        </is>
      </c>
      <c r="K380" s="10" t="inlineStr">
        <is>
          <t>北市</t>
        </is>
      </c>
      <c r="L380" s="10" t="inlineStr">
        <is>
          <t>114/01/13</t>
        </is>
      </c>
      <c r="M380" s="10" t="inlineStr">
        <is>
          <t>4690</t>
        </is>
      </c>
      <c r="N380" s="10" t="inlineStr">
        <is>
          <t>2026-06-05</t>
        </is>
      </c>
      <c r="O380" s="11" t="inlineStr">
        <is>
          <t>https://www.roccpa.org.tw/member_search/more?id=183EAE08-C3FC-4F4F-864B-A453DE545A33</t>
        </is>
      </c>
    </row>
    <row r="381">
      <c r="A381" s="10" t="n">
        <v>380</v>
      </c>
      <c r="B381" s="11" t="inlineStr">
        <is>
          <t>安侯建業聯合會計師事務所</t>
        </is>
      </c>
      <c r="C381" s="11" t="inlineStr">
        <is>
          <t>KPMG 安侯建業</t>
        </is>
      </c>
      <c r="D381" s="11" t="inlineStr">
        <is>
          <t>蕭佩如</t>
        </is>
      </c>
      <c r="E381" s="10" t="inlineStr">
        <is>
          <t>台北總所</t>
        </is>
      </c>
      <c r="F381" s="12" t="inlineStr">
        <is>
          <t>台北市信義區信義路五段7號68樓</t>
        </is>
      </c>
      <c r="G381" s="12" t="inlineStr">
        <is>
          <t>台北市信義區信義路五段7號68樓</t>
        </is>
      </c>
      <c r="H381" s="12" t="inlineStr"/>
      <c r="I381" s="10" t="inlineStr">
        <is>
          <t>104/01/26</t>
        </is>
      </c>
      <c r="J381" s="11" t="inlineStr">
        <is>
          <t>全聯會一字第1040046</t>
        </is>
      </c>
      <c r="K381" s="10" t="inlineStr">
        <is>
          <t>北市</t>
        </is>
      </c>
      <c r="L381" s="10" t="inlineStr">
        <is>
          <t>104/02/03</t>
        </is>
      </c>
      <c r="M381" s="10" t="inlineStr">
        <is>
          <t>3787</t>
        </is>
      </c>
      <c r="N381" s="10" t="inlineStr">
        <is>
          <t>2026-06-05</t>
        </is>
      </c>
      <c r="O381" s="11" t="inlineStr">
        <is>
          <t>https://www.roccpa.org.tw/member_search/more?id=7EC222C2-D144-4518-A215-4F2DD5ADAF23</t>
        </is>
      </c>
    </row>
    <row r="382">
      <c r="A382" s="10" t="n">
        <v>381</v>
      </c>
      <c r="B382" s="11" t="inlineStr">
        <is>
          <t>安侯建業聯合會計師事務所</t>
        </is>
      </c>
      <c r="C382" s="11" t="inlineStr">
        <is>
          <t>KPMG 安侯建業</t>
        </is>
      </c>
      <c r="D382" s="11" t="inlineStr">
        <is>
          <t>蕭雅文</t>
        </is>
      </c>
      <c r="E382" s="10" t="inlineStr">
        <is>
          <t>台北總所</t>
        </is>
      </c>
      <c r="F382" s="12" t="inlineStr">
        <is>
          <t>台北市信義區信義路五段7號68樓</t>
        </is>
      </c>
      <c r="G382" s="12" t="inlineStr">
        <is>
          <t>台北市信義區信義路五段7號68樓</t>
        </is>
      </c>
      <c r="H382" s="12" t="inlineStr"/>
      <c r="I382" s="10" t="inlineStr">
        <is>
          <t>113/01/15</t>
        </is>
      </c>
      <c r="J382" s="11" t="inlineStr">
        <is>
          <t>全聯會一字第1130000026號</t>
        </is>
      </c>
      <c r="K382" s="10" t="inlineStr">
        <is>
          <t>北市</t>
        </is>
      </c>
      <c r="L382" s="10" t="inlineStr">
        <is>
          <t>113/01/15</t>
        </is>
      </c>
      <c r="M382" s="10" t="inlineStr">
        <is>
          <t>4589</t>
        </is>
      </c>
      <c r="N382" s="10" t="inlineStr">
        <is>
          <t>2026-06-05</t>
        </is>
      </c>
      <c r="O382" s="11" t="inlineStr">
        <is>
          <t>https://www.roccpa.org.tw/member_search/more?id=42D72DC8-C255-4692-9B96-E151A6E5B115</t>
        </is>
      </c>
    </row>
    <row r="383">
      <c r="A383" s="10" t="n">
        <v>382</v>
      </c>
      <c r="B383" s="11" t="inlineStr">
        <is>
          <t>安侯建業聯合會計師事務所</t>
        </is>
      </c>
      <c r="C383" s="11" t="inlineStr">
        <is>
          <t>KPMG 安侯建業</t>
        </is>
      </c>
      <c r="D383" s="11" t="inlineStr">
        <is>
          <t>許明芳</t>
        </is>
      </c>
      <c r="E383" s="10" t="inlineStr">
        <is>
          <t>台北總所</t>
        </is>
      </c>
      <c r="F383" s="12" t="inlineStr">
        <is>
          <t>台北市信義區信義路五段7號68樓</t>
        </is>
      </c>
      <c r="G383" s="12" t="inlineStr">
        <is>
          <t>台北市信義區信義路五段7號68樓</t>
        </is>
      </c>
      <c r="H383" s="12" t="inlineStr"/>
      <c r="I383" s="10" t="inlineStr">
        <is>
          <t>108/01/14</t>
        </is>
      </c>
      <c r="J383" s="11" t="inlineStr">
        <is>
          <t>全聯會一字第1080035</t>
        </is>
      </c>
      <c r="K383" s="10" t="inlineStr">
        <is>
          <t>北市</t>
        </is>
      </c>
      <c r="L383" s="10" t="inlineStr">
        <is>
          <t>108/01/14</t>
        </is>
      </c>
      <c r="M383" s="10" t="inlineStr">
        <is>
          <t>4150</t>
        </is>
      </c>
      <c r="N383" s="10" t="inlineStr">
        <is>
          <t>2026-06-05</t>
        </is>
      </c>
      <c r="O383" s="11" t="inlineStr">
        <is>
          <t>https://www.roccpa.org.tw/member_search/more?id=3BD85872-FAC6-4A16-B5A3-EA1A02B2521B</t>
        </is>
      </c>
    </row>
    <row r="384">
      <c r="A384" s="10" t="n">
        <v>383</v>
      </c>
      <c r="B384" s="11" t="inlineStr">
        <is>
          <t>安侯建業聯合會計師事務所</t>
        </is>
      </c>
      <c r="C384" s="11" t="inlineStr">
        <is>
          <t>KPMG 安侯建業</t>
        </is>
      </c>
      <c r="D384" s="11" t="inlineStr">
        <is>
          <t>許淑敏</t>
        </is>
      </c>
      <c r="E384" s="10" t="inlineStr">
        <is>
          <t>台北總所</t>
        </is>
      </c>
      <c r="F384" s="12" t="inlineStr">
        <is>
          <t>台北市信義區信義路五段7號68樓</t>
        </is>
      </c>
      <c r="G384" s="12" t="inlineStr">
        <is>
          <t>台北市信義區信義路五段7號68樓</t>
        </is>
      </c>
      <c r="H384" s="12" t="inlineStr"/>
      <c r="I384" s="10" t="inlineStr"/>
      <c r="J384" s="11" t="inlineStr"/>
      <c r="K384" s="10" t="inlineStr">
        <is>
          <t>北市</t>
        </is>
      </c>
      <c r="L384" s="10" t="inlineStr">
        <is>
          <t>087/03/04</t>
        </is>
      </c>
      <c r="M384" s="10" t="inlineStr">
        <is>
          <t>2016</t>
        </is>
      </c>
      <c r="N384" s="10" t="inlineStr">
        <is>
          <t>2026-06-05</t>
        </is>
      </c>
      <c r="O384" s="11" t="inlineStr">
        <is>
          <t>https://www.roccpa.org.tw/member_search/more?id=565431CD-211E-424A-9472-7268F139DF2A</t>
        </is>
      </c>
    </row>
    <row r="385">
      <c r="A385" s="10" t="n">
        <v>384</v>
      </c>
      <c r="B385" s="11" t="inlineStr">
        <is>
          <t>安侯建業聯合會計師事務所</t>
        </is>
      </c>
      <c r="C385" s="11" t="inlineStr">
        <is>
          <t>KPMG 安侯建業</t>
        </is>
      </c>
      <c r="D385" s="11" t="inlineStr">
        <is>
          <t>許詩淳</t>
        </is>
      </c>
      <c r="E385" s="10" t="inlineStr">
        <is>
          <t>台北總所</t>
        </is>
      </c>
      <c r="F385" s="12" t="inlineStr">
        <is>
          <t>台北市信義區信義路五段7號68樓</t>
        </is>
      </c>
      <c r="G385" s="12" t="inlineStr">
        <is>
          <t>台北市信義區信義路五段7號68樓</t>
        </is>
      </c>
      <c r="H385" s="12" t="inlineStr"/>
      <c r="I385" s="10" t="inlineStr">
        <is>
          <t>112/02/06</t>
        </is>
      </c>
      <c r="J385" s="11" t="inlineStr">
        <is>
          <t>全聯會一字第1120070</t>
        </is>
      </c>
      <c r="K385" s="10" t="inlineStr">
        <is>
          <t>北市</t>
        </is>
      </c>
      <c r="L385" s="10" t="inlineStr">
        <is>
          <t>112/02/06</t>
        </is>
      </c>
      <c r="M385" s="10" t="inlineStr">
        <is>
          <t>4500</t>
        </is>
      </c>
      <c r="N385" s="10" t="inlineStr">
        <is>
          <t>2026-06-05</t>
        </is>
      </c>
      <c r="O385" s="11" t="inlineStr">
        <is>
          <t>https://www.roccpa.org.tw/member_search/more?id=45B47ED7-5EEB-454B-91D9-25433A70E92D</t>
        </is>
      </c>
    </row>
    <row r="386">
      <c r="A386" s="10" t="n">
        <v>385</v>
      </c>
      <c r="B386" s="11" t="inlineStr">
        <is>
          <t>安侯建業聯合會計師事務所</t>
        </is>
      </c>
      <c r="C386" s="11" t="inlineStr">
        <is>
          <t>KPMG 安侯建業</t>
        </is>
      </c>
      <c r="D386" s="11" t="inlineStr">
        <is>
          <t>謝昌君</t>
        </is>
      </c>
      <c r="E386" s="10" t="inlineStr">
        <is>
          <t>台北總所</t>
        </is>
      </c>
      <c r="F386" s="12" t="inlineStr">
        <is>
          <t>台北市信義區信義路五段7號68樓</t>
        </is>
      </c>
      <c r="G386" s="12" t="inlineStr">
        <is>
          <t>台北市信義區信義路五段7號68樓</t>
        </is>
      </c>
      <c r="H386" s="12" t="inlineStr"/>
      <c r="I386" s="10" t="inlineStr">
        <is>
          <t>113/01/15</t>
        </is>
      </c>
      <c r="J386" s="11" t="inlineStr">
        <is>
          <t>全聯會一字第1130000024號</t>
        </is>
      </c>
      <c r="K386" s="10" t="inlineStr">
        <is>
          <t>北市</t>
        </is>
      </c>
      <c r="L386" s="10" t="inlineStr">
        <is>
          <t>113/01/15</t>
        </is>
      </c>
      <c r="M386" s="10" t="inlineStr">
        <is>
          <t>4587</t>
        </is>
      </c>
      <c r="N386" s="10" t="inlineStr">
        <is>
          <t>2026-06-05</t>
        </is>
      </c>
      <c r="O386" s="11" t="inlineStr">
        <is>
          <t>https://www.roccpa.org.tw/member_search/more?id=7A96AB2A-38B9-4857-A968-3B90D930D14D</t>
        </is>
      </c>
    </row>
    <row r="387">
      <c r="A387" s="10" t="n">
        <v>386</v>
      </c>
      <c r="B387" s="11" t="inlineStr">
        <is>
          <t>安侯建業聯合會計師事務所</t>
        </is>
      </c>
      <c r="C387" s="11" t="inlineStr">
        <is>
          <t>KPMG 安侯建業</t>
        </is>
      </c>
      <c r="D387" s="11" t="inlineStr">
        <is>
          <t>謝秋華</t>
        </is>
      </c>
      <c r="E387" s="10" t="inlineStr">
        <is>
          <t>台北總所</t>
        </is>
      </c>
      <c r="F387" s="12" t="inlineStr">
        <is>
          <t>台北市信義區信義路五段7號68樓</t>
        </is>
      </c>
      <c r="G387" s="12" t="inlineStr">
        <is>
          <t>台北市信義區信義路五段7號68樓</t>
        </is>
      </c>
      <c r="H387" s="12" t="inlineStr"/>
      <c r="I387" s="10" t="inlineStr">
        <is>
          <t>105/08/17</t>
        </is>
      </c>
      <c r="J387" s="11" t="inlineStr">
        <is>
          <t>全聯會一字第1050359</t>
        </is>
      </c>
      <c r="K387" s="10" t="inlineStr">
        <is>
          <t>北市</t>
        </is>
      </c>
      <c r="L387" s="10" t="inlineStr">
        <is>
          <t>105/08/22</t>
        </is>
      </c>
      <c r="M387" s="10" t="inlineStr">
        <is>
          <t>3953</t>
        </is>
      </c>
      <c r="N387" s="10" t="inlineStr">
        <is>
          <t>2026-06-05</t>
        </is>
      </c>
      <c r="O387" s="11" t="inlineStr">
        <is>
          <t>https://www.roccpa.org.tw/member_search/more?id=FB81B8BA-CAF5-42C1-9AC6-73D995E7BB56</t>
        </is>
      </c>
    </row>
    <row r="388">
      <c r="A388" s="10" t="n">
        <v>387</v>
      </c>
      <c r="B388" s="11" t="inlineStr">
        <is>
          <t>安侯建業聯合會計師事務所</t>
        </is>
      </c>
      <c r="C388" s="11" t="inlineStr">
        <is>
          <t>KPMG 安侯建業</t>
        </is>
      </c>
      <c r="D388" s="11" t="inlineStr">
        <is>
          <t>賴麗真</t>
        </is>
      </c>
      <c r="E388" s="10" t="inlineStr">
        <is>
          <t>台北總所</t>
        </is>
      </c>
      <c r="F388" s="12" t="inlineStr">
        <is>
          <t>台北市信義區信義路五段7號68樓</t>
        </is>
      </c>
      <c r="G388" s="12" t="inlineStr">
        <is>
          <t>台北市信義區信義路五段7號68樓</t>
        </is>
      </c>
      <c r="H388" s="12" t="inlineStr"/>
      <c r="I388" s="10" t="inlineStr"/>
      <c r="J388" s="11" t="inlineStr"/>
      <c r="K388" s="10" t="inlineStr">
        <is>
          <t>北市</t>
        </is>
      </c>
      <c r="L388" s="10" t="inlineStr">
        <is>
          <t>087/05/13</t>
        </is>
      </c>
      <c r="M388" s="10" t="inlineStr">
        <is>
          <t>2037</t>
        </is>
      </c>
      <c r="N388" s="10" t="inlineStr">
        <is>
          <t>2026-06-05</t>
        </is>
      </c>
      <c r="O388" s="11" t="inlineStr">
        <is>
          <t>https://www.roccpa.org.tw/member_search/more?id=8F529CF6-47D8-44BF-9420-E27B8A49D630</t>
        </is>
      </c>
    </row>
    <row r="389">
      <c r="A389" s="10" t="n">
        <v>388</v>
      </c>
      <c r="B389" s="11" t="inlineStr">
        <is>
          <t>安侯建業聯合會計師事務所</t>
        </is>
      </c>
      <c r="C389" s="11" t="inlineStr">
        <is>
          <t>KPMG 安侯建業</t>
        </is>
      </c>
      <c r="D389" s="11" t="inlineStr">
        <is>
          <t>趙敏如</t>
        </is>
      </c>
      <c r="E389" s="10" t="inlineStr">
        <is>
          <t>台北總所</t>
        </is>
      </c>
      <c r="F389" s="12" t="inlineStr">
        <is>
          <t>台北市信義區信義路五段7號68樓</t>
        </is>
      </c>
      <c r="G389" s="12" t="inlineStr">
        <is>
          <t>台北市信義區信義路五段7號68樓</t>
        </is>
      </c>
      <c r="H389" s="12" t="inlineStr"/>
      <c r="I389" s="10" t="inlineStr">
        <is>
          <t>105/08/17</t>
        </is>
      </c>
      <c r="J389" s="11" t="inlineStr">
        <is>
          <t>全聯會一字第1050358</t>
        </is>
      </c>
      <c r="K389" s="10" t="inlineStr">
        <is>
          <t>北市</t>
        </is>
      </c>
      <c r="L389" s="10" t="inlineStr">
        <is>
          <t>105/08/22</t>
        </is>
      </c>
      <c r="M389" s="10" t="inlineStr">
        <is>
          <t>3954</t>
        </is>
      </c>
      <c r="N389" s="10" t="inlineStr">
        <is>
          <t>2026-06-05</t>
        </is>
      </c>
      <c r="O389" s="11" t="inlineStr">
        <is>
          <t>https://www.roccpa.org.tw/member_search/more?id=28302896-B885-4141-B539-9DF520870716</t>
        </is>
      </c>
    </row>
    <row r="390">
      <c r="A390" s="10" t="n">
        <v>389</v>
      </c>
      <c r="B390" s="11" t="inlineStr">
        <is>
          <t>安侯建業聯合會計師事務所</t>
        </is>
      </c>
      <c r="C390" s="11" t="inlineStr">
        <is>
          <t>KPMG 安侯建業</t>
        </is>
      </c>
      <c r="D390" s="11" t="inlineStr">
        <is>
          <t>辛郁婷</t>
        </is>
      </c>
      <c r="E390" s="10" t="inlineStr">
        <is>
          <t>台北總所</t>
        </is>
      </c>
      <c r="F390" s="12" t="inlineStr">
        <is>
          <t>台北市信義區信義路五段7號68樓</t>
        </is>
      </c>
      <c r="G390" s="12" t="inlineStr">
        <is>
          <t>台北市信義區信義路五段7號68樓</t>
        </is>
      </c>
      <c r="H390" s="12" t="inlineStr"/>
      <c r="I390" s="10" t="inlineStr">
        <is>
          <t>112/02/06</t>
        </is>
      </c>
      <c r="J390" s="11" t="inlineStr">
        <is>
          <t>全聯會一字第1120065</t>
        </is>
      </c>
      <c r="K390" s="10" t="inlineStr">
        <is>
          <t>北市</t>
        </is>
      </c>
      <c r="L390" s="10" t="inlineStr">
        <is>
          <t>112/02/06</t>
        </is>
      </c>
      <c r="M390" s="10" t="inlineStr">
        <is>
          <t>4495</t>
        </is>
      </c>
      <c r="N390" s="10" t="inlineStr">
        <is>
          <t>2026-06-05</t>
        </is>
      </c>
      <c r="O390" s="11" t="inlineStr">
        <is>
          <t>https://www.roccpa.org.tw/member_search/more?id=AE827E5F-CD09-4C11-968D-ACD781785F52</t>
        </is>
      </c>
    </row>
    <row r="391">
      <c r="A391" s="10" t="n">
        <v>390</v>
      </c>
      <c r="B391" s="11" t="inlineStr">
        <is>
          <t>安侯建業聯合會計師事務所</t>
        </is>
      </c>
      <c r="C391" s="11" t="inlineStr">
        <is>
          <t>KPMG 安侯建業</t>
        </is>
      </c>
      <c r="D391" s="11" t="inlineStr">
        <is>
          <t>連淑凌</t>
        </is>
      </c>
      <c r="E391" s="10" t="inlineStr">
        <is>
          <t>台北總所</t>
        </is>
      </c>
      <c r="F391" s="12" t="inlineStr">
        <is>
          <t>台北市信義區信義路五段7號68樓</t>
        </is>
      </c>
      <c r="G391" s="12" t="inlineStr">
        <is>
          <t>台北市信義區信義路五段7號68樓</t>
        </is>
      </c>
      <c r="H391" s="12" t="inlineStr"/>
      <c r="I391" s="10" t="inlineStr"/>
      <c r="J391" s="11" t="inlineStr"/>
      <c r="K391" s="10" t="inlineStr">
        <is>
          <t>北市</t>
        </is>
      </c>
      <c r="L391" s="10" t="inlineStr">
        <is>
          <t>087/03/04</t>
        </is>
      </c>
      <c r="M391" s="10" t="inlineStr">
        <is>
          <t>2017</t>
        </is>
      </c>
      <c r="N391" s="10" t="inlineStr">
        <is>
          <t>2026-06-05</t>
        </is>
      </c>
      <c r="O391" s="11" t="inlineStr">
        <is>
          <t>https://www.roccpa.org.tw/member_search/more?id=9ABB93CB-A0A5-4710-93AB-8F2BCF2DDBF7</t>
        </is>
      </c>
    </row>
    <row r="392">
      <c r="A392" s="10" t="n">
        <v>391</v>
      </c>
      <c r="B392" s="11" t="inlineStr">
        <is>
          <t>安侯建業聯合會計師事務所</t>
        </is>
      </c>
      <c r="C392" s="11" t="inlineStr">
        <is>
          <t>KPMG 安侯建業</t>
        </is>
      </c>
      <c r="D392" s="11" t="inlineStr">
        <is>
          <t>郭仰倫</t>
        </is>
      </c>
      <c r="E392" s="10" t="inlineStr">
        <is>
          <t>台北總所</t>
        </is>
      </c>
      <c r="F392" s="12" t="inlineStr">
        <is>
          <t>台北市信義區信義路五段7號68樓</t>
        </is>
      </c>
      <c r="G392" s="12" t="inlineStr">
        <is>
          <t>台北市信義區信義路五段7號68樓</t>
        </is>
      </c>
      <c r="H392" s="12" t="inlineStr"/>
      <c r="I392" s="10" t="inlineStr">
        <is>
          <t>112/02/06</t>
        </is>
      </c>
      <c r="J392" s="11" t="inlineStr">
        <is>
          <t>全聯會一字第1120068</t>
        </is>
      </c>
      <c r="K392" s="10" t="inlineStr">
        <is>
          <t>北市</t>
        </is>
      </c>
      <c r="L392" s="10" t="inlineStr">
        <is>
          <t>112/02/06</t>
        </is>
      </c>
      <c r="M392" s="10" t="inlineStr">
        <is>
          <t>4498</t>
        </is>
      </c>
      <c r="N392" s="10" t="inlineStr">
        <is>
          <t>2026-06-05</t>
        </is>
      </c>
      <c r="O392" s="11" t="inlineStr">
        <is>
          <t>https://www.roccpa.org.tw/member_search/more?id=41C4770B-B622-40AB-A377-52E6F278D123</t>
        </is>
      </c>
    </row>
    <row r="393">
      <c r="A393" s="10" t="n">
        <v>392</v>
      </c>
      <c r="B393" s="11" t="inlineStr">
        <is>
          <t>安侯建業聯合會計師事務所</t>
        </is>
      </c>
      <c r="C393" s="11" t="inlineStr">
        <is>
          <t>KPMG 安侯建業</t>
        </is>
      </c>
      <c r="D393" s="11" t="inlineStr">
        <is>
          <t>郭冠纓</t>
        </is>
      </c>
      <c r="E393" s="10" t="inlineStr">
        <is>
          <t>台北總所</t>
        </is>
      </c>
      <c r="F393" s="12" t="inlineStr">
        <is>
          <t>台北市信義區信義路五段7號68樓</t>
        </is>
      </c>
      <c r="G393" s="12" t="inlineStr">
        <is>
          <t>台北市信義區信義路五段7號68樓</t>
        </is>
      </c>
      <c r="H393" s="12" t="inlineStr"/>
      <c r="I393" s="10" t="inlineStr">
        <is>
          <t>101/01/19</t>
        </is>
      </c>
      <c r="J393" s="11" t="inlineStr">
        <is>
          <t>全聯會一字第1010023</t>
        </is>
      </c>
      <c r="K393" s="10" t="inlineStr">
        <is>
          <t>北市</t>
        </is>
      </c>
      <c r="L393" s="10" t="inlineStr">
        <is>
          <t>101/02/06</t>
        </is>
      </c>
      <c r="M393" s="10" t="inlineStr">
        <is>
          <t>3421</t>
        </is>
      </c>
      <c r="N393" s="10" t="inlineStr">
        <is>
          <t>2026-06-05</t>
        </is>
      </c>
      <c r="O393" s="11" t="inlineStr">
        <is>
          <t>https://www.roccpa.org.tw/member_search/more?id=A51D0820-AB9B-4DE0-9455-8A6E883BF03E</t>
        </is>
      </c>
    </row>
    <row r="394">
      <c r="A394" s="10" t="n">
        <v>393</v>
      </c>
      <c r="B394" s="11" t="inlineStr">
        <is>
          <t>安侯建業聯合會計師事務所</t>
        </is>
      </c>
      <c r="C394" s="11" t="inlineStr">
        <is>
          <t>KPMG 安侯建業</t>
        </is>
      </c>
      <c r="D394" s="11" t="inlineStr">
        <is>
          <t>郭士華</t>
        </is>
      </c>
      <c r="E394" s="10" t="inlineStr">
        <is>
          <t>台北總所</t>
        </is>
      </c>
      <c r="F394" s="12" t="inlineStr">
        <is>
          <t>台北市信義區信義路五段7號68樓</t>
        </is>
      </c>
      <c r="G394" s="12" t="inlineStr">
        <is>
          <t>台北市信義區信義路五段7號68樓</t>
        </is>
      </c>
      <c r="H394" s="12" t="inlineStr"/>
      <c r="I394" s="10" t="inlineStr"/>
      <c r="J394" s="11" t="inlineStr"/>
      <c r="K394" s="10" t="inlineStr">
        <is>
          <t>中市</t>
        </is>
      </c>
      <c r="L394" s="10" t="inlineStr">
        <is>
          <t>100/08/24</t>
        </is>
      </c>
      <c r="M394" s="10" t="inlineStr">
        <is>
          <t>46</t>
        </is>
      </c>
      <c r="N394" s="10" t="inlineStr">
        <is>
          <t>2026-06-05</t>
        </is>
      </c>
      <c r="O394" s="11" t="inlineStr">
        <is>
          <t>https://www.roccpa.org.tw/member_search/more?id=989F6D0F-3018-4C21-A6AD-97C2A176D782</t>
        </is>
      </c>
    </row>
    <row r="395">
      <c r="A395" s="10" t="n">
        <v>394</v>
      </c>
      <c r="B395" s="11" t="inlineStr">
        <is>
          <t>安侯建業聯合會計師事務所</t>
        </is>
      </c>
      <c r="C395" s="11" t="inlineStr">
        <is>
          <t>KPMG 安侯建業</t>
        </is>
      </c>
      <c r="D395" s="11" t="inlineStr">
        <is>
          <t>郭柔蘭</t>
        </is>
      </c>
      <c r="E395" s="10" t="inlineStr">
        <is>
          <t>台北總所</t>
        </is>
      </c>
      <c r="F395" s="12" t="inlineStr">
        <is>
          <t>台北市信義區信義路五段7號68樓</t>
        </is>
      </c>
      <c r="G395" s="12" t="inlineStr">
        <is>
          <t>台北市信義區信義路五段7號68樓</t>
        </is>
      </c>
      <c r="H395" s="12" t="inlineStr"/>
      <c r="I395" s="10" t="inlineStr">
        <is>
          <t>107/02/05</t>
        </is>
      </c>
      <c r="J395" s="11" t="inlineStr">
        <is>
          <t>全聯會一字第1070076</t>
        </is>
      </c>
      <c r="K395" s="10" t="inlineStr">
        <is>
          <t>北市</t>
        </is>
      </c>
      <c r="L395" s="10" t="inlineStr">
        <is>
          <t>107/02/05</t>
        </is>
      </c>
      <c r="M395" s="10" t="inlineStr">
        <is>
          <t>4073</t>
        </is>
      </c>
      <c r="N395" s="10" t="inlineStr">
        <is>
          <t>2026-06-05</t>
        </is>
      </c>
      <c r="O395" s="11" t="inlineStr">
        <is>
          <t>https://www.roccpa.org.tw/member_search/more?id=DDFC2873-7DCC-4C23-A795-7A3753F9C0CF</t>
        </is>
      </c>
    </row>
    <row r="396">
      <c r="A396" s="10" t="n">
        <v>395</v>
      </c>
      <c r="B396" s="11" t="inlineStr">
        <is>
          <t>安侯建業聯合會計師事務所</t>
        </is>
      </c>
      <c r="C396" s="11" t="inlineStr">
        <is>
          <t>KPMG 安侯建業</t>
        </is>
      </c>
      <c r="D396" s="11" t="inlineStr">
        <is>
          <t>郭欣頤</t>
        </is>
      </c>
      <c r="E396" s="10" t="inlineStr">
        <is>
          <t>台北總所</t>
        </is>
      </c>
      <c r="F396" s="12" t="inlineStr">
        <is>
          <t>台北市信義區信義路五段7號68樓</t>
        </is>
      </c>
      <c r="G396" s="12" t="inlineStr">
        <is>
          <t>台北市信義區信義路五段7號68樓</t>
        </is>
      </c>
      <c r="H396" s="12" t="inlineStr"/>
      <c r="I396" s="10" t="inlineStr">
        <is>
          <t>104/01/26</t>
        </is>
      </c>
      <c r="J396" s="11" t="inlineStr">
        <is>
          <t>全聯會一字第1040045</t>
        </is>
      </c>
      <c r="K396" s="10" t="inlineStr">
        <is>
          <t>北市</t>
        </is>
      </c>
      <c r="L396" s="10" t="inlineStr">
        <is>
          <t>104/02/03</t>
        </is>
      </c>
      <c r="M396" s="10" t="inlineStr">
        <is>
          <t>3786</t>
        </is>
      </c>
      <c r="N396" s="10" t="inlineStr">
        <is>
          <t>2026-06-05</t>
        </is>
      </c>
      <c r="O396" s="11" t="inlineStr">
        <is>
          <t>https://www.roccpa.org.tw/member_search/more?id=9402805F-1A08-4EE3-901C-D074AFEF7471</t>
        </is>
      </c>
    </row>
    <row r="397">
      <c r="A397" s="10" t="n">
        <v>396</v>
      </c>
      <c r="B397" s="11" t="inlineStr">
        <is>
          <t>安侯建業聯合會計師事務所</t>
        </is>
      </c>
      <c r="C397" s="11" t="inlineStr">
        <is>
          <t>KPMG 安侯建業</t>
        </is>
      </c>
      <c r="D397" s="11" t="inlineStr">
        <is>
          <t>鄒依芸</t>
        </is>
      </c>
      <c r="E397" s="10" t="inlineStr">
        <is>
          <t>台北總所</t>
        </is>
      </c>
      <c r="F397" s="12" t="inlineStr">
        <is>
          <t>台北市信義區信義路五段7號68樓</t>
        </is>
      </c>
      <c r="G397" s="12" t="inlineStr">
        <is>
          <t>台北市信義區信義路五段7號68樓</t>
        </is>
      </c>
      <c r="H397" s="12" t="inlineStr"/>
      <c r="I397" s="10" t="inlineStr">
        <is>
          <t>113/01/15</t>
        </is>
      </c>
      <c r="J397" s="11" t="inlineStr">
        <is>
          <t>全聯會一字第1130000027號</t>
        </is>
      </c>
      <c r="K397" s="10" t="inlineStr">
        <is>
          <t>北市</t>
        </is>
      </c>
      <c r="L397" s="10" t="inlineStr">
        <is>
          <t>113/01/15</t>
        </is>
      </c>
      <c r="M397" s="10" t="inlineStr">
        <is>
          <t>4590</t>
        </is>
      </c>
      <c r="N397" s="10" t="inlineStr">
        <is>
          <t>2026-06-05</t>
        </is>
      </c>
      <c r="O397" s="11" t="inlineStr">
        <is>
          <t>https://www.roccpa.org.tw/member_search/more?id=28EE2E7E-A03B-44E1-882C-61E75354AA62</t>
        </is>
      </c>
    </row>
    <row r="398">
      <c r="A398" s="10" t="n">
        <v>397</v>
      </c>
      <c r="B398" s="11" t="inlineStr">
        <is>
          <t>安侯建業聯合會計師事務所</t>
        </is>
      </c>
      <c r="C398" s="11" t="inlineStr">
        <is>
          <t>KPMG 安侯建業</t>
        </is>
      </c>
      <c r="D398" s="11" t="inlineStr">
        <is>
          <t>鄭博仁</t>
        </is>
      </c>
      <c r="E398" s="10" t="inlineStr">
        <is>
          <t>台北總所</t>
        </is>
      </c>
      <c r="F398" s="12" t="inlineStr">
        <is>
          <t>台北市信義區信義路五段7號68樓</t>
        </is>
      </c>
      <c r="G398" s="12" t="inlineStr">
        <is>
          <t>台北市信義區信義路五段7號68樓</t>
        </is>
      </c>
      <c r="H398" s="12" t="inlineStr"/>
      <c r="I398" s="10" t="inlineStr">
        <is>
          <t>114/01/13</t>
        </is>
      </c>
      <c r="J398" s="11" t="inlineStr">
        <is>
          <t>全聯會一字第1140000039號</t>
        </is>
      </c>
      <c r="K398" s="10" t="inlineStr">
        <is>
          <t>北市</t>
        </is>
      </c>
      <c r="L398" s="10" t="inlineStr">
        <is>
          <t>114/01/13</t>
        </is>
      </c>
      <c r="M398" s="10" t="inlineStr">
        <is>
          <t>4695</t>
        </is>
      </c>
      <c r="N398" s="10" t="inlineStr">
        <is>
          <t>2026-06-05</t>
        </is>
      </c>
      <c r="O398" s="11" t="inlineStr">
        <is>
          <t>https://www.roccpa.org.tw/member_search/more?id=42873A43-3B61-4F98-8F68-279270A24EF4</t>
        </is>
      </c>
    </row>
    <row r="399">
      <c r="A399" s="10" t="n">
        <v>398</v>
      </c>
      <c r="B399" s="11" t="inlineStr">
        <is>
          <t>安侯建業聯合會計師事務所</t>
        </is>
      </c>
      <c r="C399" s="11" t="inlineStr">
        <is>
          <t>KPMG 安侯建業</t>
        </is>
      </c>
      <c r="D399" s="11" t="inlineStr">
        <is>
          <t>陳俊光</t>
        </is>
      </c>
      <c r="E399" s="10" t="inlineStr">
        <is>
          <t>台北總所</t>
        </is>
      </c>
      <c r="F399" s="12" t="inlineStr">
        <is>
          <t>台北市信義區信義路五段7號68樓</t>
        </is>
      </c>
      <c r="G399" s="12" t="inlineStr">
        <is>
          <t>台北市信義區信義路五段7號68樓</t>
        </is>
      </c>
      <c r="H399" s="12" t="inlineStr"/>
      <c r="I399" s="10" t="inlineStr">
        <is>
          <t>101/12/26</t>
        </is>
      </c>
      <c r="J399" s="11" t="inlineStr">
        <is>
          <t>全聯會一字第1010467</t>
        </is>
      </c>
      <c r="K399" s="10" t="inlineStr">
        <is>
          <t>北市</t>
        </is>
      </c>
      <c r="L399" s="10" t="inlineStr">
        <is>
          <t>101/12/27</t>
        </is>
      </c>
      <c r="M399" s="10" t="inlineStr">
        <is>
          <t>3531</t>
        </is>
      </c>
      <c r="N399" s="10" t="inlineStr">
        <is>
          <t>2026-06-05</t>
        </is>
      </c>
      <c r="O399" s="11" t="inlineStr">
        <is>
          <t>https://www.roccpa.org.tw/member_search/more?id=491E50BB-3BF9-4405-ADE6-7962B2D543B6</t>
        </is>
      </c>
    </row>
    <row r="400">
      <c r="A400" s="10" t="n">
        <v>399</v>
      </c>
      <c r="B400" s="11" t="inlineStr">
        <is>
          <t>安侯建業聯合會計師事務所</t>
        </is>
      </c>
      <c r="C400" s="11" t="inlineStr">
        <is>
          <t>KPMG 安侯建業</t>
        </is>
      </c>
      <c r="D400" s="11" t="inlineStr">
        <is>
          <t>陳奕任</t>
        </is>
      </c>
      <c r="E400" s="10" t="inlineStr">
        <is>
          <t>台北總所</t>
        </is>
      </c>
      <c r="F400" s="12" t="inlineStr">
        <is>
          <t>台北市信義區信義路五段7號68樓</t>
        </is>
      </c>
      <c r="G400" s="12" t="inlineStr">
        <is>
          <t>台北市信義區信義路五段7號68樓</t>
        </is>
      </c>
      <c r="H400" s="12" t="inlineStr"/>
      <c r="I400" s="10" t="inlineStr">
        <is>
          <t>110/01/27</t>
        </is>
      </c>
      <c r="J400" s="11" t="inlineStr">
        <is>
          <t>全聯會一字第1100043</t>
        </is>
      </c>
      <c r="K400" s="10" t="inlineStr">
        <is>
          <t>北市</t>
        </is>
      </c>
      <c r="L400" s="10" t="inlineStr">
        <is>
          <t>110/01/27</t>
        </is>
      </c>
      <c r="M400" s="10" t="inlineStr">
        <is>
          <t>4298</t>
        </is>
      </c>
      <c r="N400" s="10" t="inlineStr">
        <is>
          <t>2026-06-05</t>
        </is>
      </c>
      <c r="O400" s="11" t="inlineStr">
        <is>
          <t>https://www.roccpa.org.tw/member_search/more?id=2A7CD374-A8E1-43E9-87CD-D3E3630C4B59</t>
        </is>
      </c>
    </row>
    <row r="401">
      <c r="A401" s="10" t="n">
        <v>400</v>
      </c>
      <c r="B401" s="11" t="inlineStr">
        <is>
          <t>安侯建業聯合會計師事務所</t>
        </is>
      </c>
      <c r="C401" s="11" t="inlineStr">
        <is>
          <t>KPMG 安侯建業</t>
        </is>
      </c>
      <c r="D401" s="11" t="inlineStr">
        <is>
          <t>陳宗哲</t>
        </is>
      </c>
      <c r="E401" s="10" t="inlineStr">
        <is>
          <t>台北總所</t>
        </is>
      </c>
      <c r="F401" s="12" t="inlineStr">
        <is>
          <t>台北市信義區信義路五段7號68樓</t>
        </is>
      </c>
      <c r="G401" s="12" t="inlineStr">
        <is>
          <t>台北市信義區信義路五段7號68樓</t>
        </is>
      </c>
      <c r="H401" s="12" t="inlineStr"/>
      <c r="I401" s="10" t="inlineStr">
        <is>
          <t>100/03/14</t>
        </is>
      </c>
      <c r="J401" s="11" t="inlineStr">
        <is>
          <t>全聯會一字第1000093</t>
        </is>
      </c>
      <c r="K401" s="10" t="inlineStr">
        <is>
          <t>北市</t>
        </is>
      </c>
      <c r="L401" s="10" t="inlineStr">
        <is>
          <t>100/03/16</t>
        </is>
      </c>
      <c r="M401" s="10" t="inlineStr">
        <is>
          <t>3328</t>
        </is>
      </c>
      <c r="N401" s="10" t="inlineStr">
        <is>
          <t>2026-06-05</t>
        </is>
      </c>
      <c r="O401" s="11" t="inlineStr">
        <is>
          <t>https://www.roccpa.org.tw/member_search/more?id=41984C21-208E-46C6-8209-3DD0AE586AA8</t>
        </is>
      </c>
    </row>
    <row r="402">
      <c r="A402" s="10" t="n">
        <v>401</v>
      </c>
      <c r="B402" s="11" t="inlineStr">
        <is>
          <t>安侯建業聯合會計師事務所</t>
        </is>
      </c>
      <c r="C402" s="11" t="inlineStr">
        <is>
          <t>KPMG 安侯建業</t>
        </is>
      </c>
      <c r="D402" s="11" t="inlineStr">
        <is>
          <t>陳宜君</t>
        </is>
      </c>
      <c r="E402" s="10" t="inlineStr">
        <is>
          <t>台北總所</t>
        </is>
      </c>
      <c r="F402" s="12" t="inlineStr">
        <is>
          <t>台北市信義區信義路五段7號68樓</t>
        </is>
      </c>
      <c r="G402" s="12" t="inlineStr">
        <is>
          <t>台北市信義區信義路五段7號68樓</t>
        </is>
      </c>
      <c r="H402" s="12" t="inlineStr"/>
      <c r="I402" s="10" t="inlineStr">
        <is>
          <t>100/03/14</t>
        </is>
      </c>
      <c r="J402" s="11" t="inlineStr">
        <is>
          <t>全聯會一字第1000091</t>
        </is>
      </c>
      <c r="K402" s="10" t="inlineStr">
        <is>
          <t>北市</t>
        </is>
      </c>
      <c r="L402" s="10" t="inlineStr">
        <is>
          <t>100/03/16</t>
        </is>
      </c>
      <c r="M402" s="10" t="inlineStr">
        <is>
          <t>3330</t>
        </is>
      </c>
      <c r="N402" s="10" t="inlineStr">
        <is>
          <t>2026-06-05</t>
        </is>
      </c>
      <c r="O402" s="11" t="inlineStr">
        <is>
          <t>https://www.roccpa.org.tw/member_search/more?id=DBC79649-D78A-4FE6-96FF-1F659C85D314</t>
        </is>
      </c>
    </row>
    <row r="403">
      <c r="A403" s="10" t="n">
        <v>402</v>
      </c>
      <c r="B403" s="11" t="inlineStr">
        <is>
          <t>安侯建業聯合會計師事務所</t>
        </is>
      </c>
      <c r="C403" s="11" t="inlineStr">
        <is>
          <t>KPMG 安侯建業</t>
        </is>
      </c>
      <c r="D403" s="11" t="inlineStr">
        <is>
          <t>陳家程</t>
        </is>
      </c>
      <c r="E403" s="10" t="inlineStr">
        <is>
          <t>台北總所</t>
        </is>
      </c>
      <c r="F403" s="12" t="inlineStr">
        <is>
          <t>台北市信義區信義路五段7號68樓</t>
        </is>
      </c>
      <c r="G403" s="12" t="inlineStr">
        <is>
          <t>台北市信義區信義路五段7號68樓</t>
        </is>
      </c>
      <c r="H403" s="12" t="inlineStr"/>
      <c r="I403" s="10" t="inlineStr">
        <is>
          <t>109/11/03</t>
        </is>
      </c>
      <c r="J403" s="11" t="inlineStr">
        <is>
          <t>全聯會一字第1090421</t>
        </is>
      </c>
      <c r="K403" s="10" t="inlineStr">
        <is>
          <t>北市</t>
        </is>
      </c>
      <c r="L403" s="10" t="inlineStr">
        <is>
          <t>109/11/03</t>
        </is>
      </c>
      <c r="M403" s="10" t="inlineStr">
        <is>
          <t>4280</t>
        </is>
      </c>
      <c r="N403" s="10" t="inlineStr">
        <is>
          <t>2026-06-05</t>
        </is>
      </c>
      <c r="O403" s="11" t="inlineStr">
        <is>
          <t>https://www.roccpa.org.tw/member_search/more?id=07765F73-DDAF-4439-BDE8-9C10F21DF8A4</t>
        </is>
      </c>
    </row>
    <row r="404">
      <c r="A404" s="10" t="n">
        <v>403</v>
      </c>
      <c r="B404" s="11" t="inlineStr">
        <is>
          <t>安侯建業聯合會計師事務所</t>
        </is>
      </c>
      <c r="C404" s="11" t="inlineStr">
        <is>
          <t>KPMG 安侯建業</t>
        </is>
      </c>
      <c r="D404" s="11" t="inlineStr">
        <is>
          <t>陳富仁</t>
        </is>
      </c>
      <c r="E404" s="10" t="inlineStr">
        <is>
          <t>台北總所</t>
        </is>
      </c>
      <c r="F404" s="12" t="inlineStr">
        <is>
          <t>台北市信義區信義路五段7號68樓</t>
        </is>
      </c>
      <c r="G404" s="12" t="inlineStr">
        <is>
          <t>台北市信義區信義路五段7號68樓</t>
        </is>
      </c>
      <c r="H404" s="12" t="inlineStr"/>
      <c r="I404" s="10" t="inlineStr">
        <is>
          <t>108/01/14</t>
        </is>
      </c>
      <c r="J404" s="11" t="inlineStr">
        <is>
          <t>全聯會一字第1080036</t>
        </is>
      </c>
      <c r="K404" s="10" t="inlineStr">
        <is>
          <t>北市</t>
        </is>
      </c>
      <c r="L404" s="10" t="inlineStr">
        <is>
          <t>108/01/14</t>
        </is>
      </c>
      <c r="M404" s="10" t="inlineStr">
        <is>
          <t>4151</t>
        </is>
      </c>
      <c r="N404" s="10" t="inlineStr">
        <is>
          <t>2026-06-05</t>
        </is>
      </c>
      <c r="O404" s="11" t="inlineStr">
        <is>
          <t>https://www.roccpa.org.tw/member_search/more?id=6650E375-3374-4CB1-B525-3C4C1DD41AF4</t>
        </is>
      </c>
    </row>
    <row r="405">
      <c r="A405" s="10" t="n">
        <v>404</v>
      </c>
      <c r="B405" s="11" t="inlineStr">
        <is>
          <t>安侯建業聯合會計師事務所</t>
        </is>
      </c>
      <c r="C405" s="11" t="inlineStr">
        <is>
          <t>KPMG 安侯建業</t>
        </is>
      </c>
      <c r="D405" s="11" t="inlineStr">
        <is>
          <t>陳彥富</t>
        </is>
      </c>
      <c r="E405" s="10" t="inlineStr">
        <is>
          <t>台北總所</t>
        </is>
      </c>
      <c r="F405" s="12" t="inlineStr">
        <is>
          <t>台北市信義區信義路五段7號68樓</t>
        </is>
      </c>
      <c r="G405" s="12" t="inlineStr">
        <is>
          <t>台北市信義區信義路五段7號68樓</t>
        </is>
      </c>
      <c r="H405" s="12" t="inlineStr"/>
      <c r="I405" s="10" t="inlineStr">
        <is>
          <t>103/11/04</t>
        </is>
      </c>
      <c r="J405" s="11" t="inlineStr">
        <is>
          <t>全聯會一字第103425</t>
        </is>
      </c>
      <c r="K405" s="10" t="inlineStr">
        <is>
          <t>北市</t>
        </is>
      </c>
      <c r="L405" s="10" t="inlineStr">
        <is>
          <t>103/11/19</t>
        </is>
      </c>
      <c r="M405" s="10" t="inlineStr">
        <is>
          <t>3754</t>
        </is>
      </c>
      <c r="N405" s="10" t="inlineStr">
        <is>
          <t>2026-06-05</t>
        </is>
      </c>
      <c r="O405" s="11" t="inlineStr">
        <is>
          <t>https://www.roccpa.org.tw/member_search/more?id=44CA1DA7-38F2-44A5-84F6-397C42D7681C</t>
        </is>
      </c>
    </row>
    <row r="406">
      <c r="A406" s="10" t="n">
        <v>405</v>
      </c>
      <c r="B406" s="11" t="inlineStr">
        <is>
          <t>安侯建業聯合會計師事務所</t>
        </is>
      </c>
      <c r="C406" s="11" t="inlineStr">
        <is>
          <t>KPMG 安侯建業</t>
        </is>
      </c>
      <c r="D406" s="11" t="inlineStr">
        <is>
          <t>陳彩凰</t>
        </is>
      </c>
      <c r="E406" s="10" t="inlineStr">
        <is>
          <t>台北總所</t>
        </is>
      </c>
      <c r="F406" s="12" t="inlineStr">
        <is>
          <t>台北市信義區信義路五段7號68樓</t>
        </is>
      </c>
      <c r="G406" s="12" t="inlineStr">
        <is>
          <t>台北市信義區信義路五段7號68樓</t>
        </is>
      </c>
      <c r="H406" s="12" t="inlineStr"/>
      <c r="I406" s="10" t="inlineStr">
        <is>
          <t>106/07/10</t>
        </is>
      </c>
      <c r="J406" s="11" t="inlineStr">
        <is>
          <t>全聯會一字第1060247</t>
        </is>
      </c>
      <c r="K406" s="10" t="inlineStr">
        <is>
          <t>北市</t>
        </is>
      </c>
      <c r="L406" s="10" t="inlineStr">
        <is>
          <t>106/08/04</t>
        </is>
      </c>
      <c r="M406" s="10" t="inlineStr">
        <is>
          <t>4032</t>
        </is>
      </c>
      <c r="N406" s="10" t="inlineStr">
        <is>
          <t>2026-06-05</t>
        </is>
      </c>
      <c r="O406" s="11" t="inlineStr">
        <is>
          <t>https://www.roccpa.org.tw/member_search/more?id=48644002-3843-4530-8B3B-9BD643F85A4E</t>
        </is>
      </c>
    </row>
    <row r="407">
      <c r="A407" s="10" t="n">
        <v>406</v>
      </c>
      <c r="B407" s="11" t="inlineStr">
        <is>
          <t>安侯建業聯合會計師事務所</t>
        </is>
      </c>
      <c r="C407" s="11" t="inlineStr">
        <is>
          <t>KPMG 安侯建業</t>
        </is>
      </c>
      <c r="D407" s="11" t="inlineStr">
        <is>
          <t>陳志愷</t>
        </is>
      </c>
      <c r="E407" s="10" t="inlineStr">
        <is>
          <t>台北總所</t>
        </is>
      </c>
      <c r="F407" s="12" t="inlineStr">
        <is>
          <t>台北市信義區信義路五段7號68樓</t>
        </is>
      </c>
      <c r="G407" s="12" t="inlineStr">
        <is>
          <t>台北市信義區信義路五段7號68樓</t>
        </is>
      </c>
      <c r="H407" s="12" t="inlineStr"/>
      <c r="I407" s="10" t="inlineStr"/>
      <c r="J407" s="11" t="inlineStr"/>
      <c r="K407" s="10" t="inlineStr">
        <is>
          <t>北市</t>
        </is>
      </c>
      <c r="L407" s="10" t="inlineStr">
        <is>
          <t>090/01/08</t>
        </is>
      </c>
      <c r="M407" s="10" t="inlineStr">
        <is>
          <t>2325</t>
        </is>
      </c>
      <c r="N407" s="10" t="inlineStr">
        <is>
          <t>2026-06-05</t>
        </is>
      </c>
      <c r="O407" s="11" t="inlineStr">
        <is>
          <t>https://www.roccpa.org.tw/member_search/more?id=4BB32E91-F020-4D00-A546-13EBECB76968</t>
        </is>
      </c>
    </row>
    <row r="408">
      <c r="A408" s="10" t="n">
        <v>407</v>
      </c>
      <c r="B408" s="11" t="inlineStr">
        <is>
          <t>安侯建業聯合會計師事務所</t>
        </is>
      </c>
      <c r="C408" s="11" t="inlineStr">
        <is>
          <t>KPMG 安侯建業</t>
        </is>
      </c>
      <c r="D408" s="11" t="inlineStr">
        <is>
          <t>陳明輝</t>
        </is>
      </c>
      <c r="E408" s="10" t="inlineStr">
        <is>
          <t>台北總所</t>
        </is>
      </c>
      <c r="F408" s="12" t="inlineStr">
        <is>
          <t>台北市信義區信義路五段7號68樓</t>
        </is>
      </c>
      <c r="G408" s="12" t="inlineStr">
        <is>
          <t>台北市信義區信義路五段7號68樓</t>
        </is>
      </c>
      <c r="H408" s="12" t="inlineStr"/>
      <c r="I408" s="10" t="inlineStr">
        <is>
          <t>114/01/13</t>
        </is>
      </c>
      <c r="J408" s="11" t="inlineStr">
        <is>
          <t>全聯會一字第1140000036號</t>
        </is>
      </c>
      <c r="K408" s="10" t="inlineStr">
        <is>
          <t>北市</t>
        </is>
      </c>
      <c r="L408" s="10" t="inlineStr">
        <is>
          <t>114/01/13</t>
        </is>
      </c>
      <c r="M408" s="10" t="inlineStr">
        <is>
          <t>4692</t>
        </is>
      </c>
      <c r="N408" s="10" t="inlineStr">
        <is>
          <t>2026-06-05</t>
        </is>
      </c>
      <c r="O408" s="11" t="inlineStr">
        <is>
          <t>https://www.roccpa.org.tw/member_search/more?id=9778C79E-D58E-4EC8-A895-2E781310FE05</t>
        </is>
      </c>
    </row>
    <row r="409">
      <c r="A409" s="10" t="n">
        <v>408</v>
      </c>
      <c r="B409" s="11" t="inlineStr">
        <is>
          <t>安侯建業聯合會計師事務所</t>
        </is>
      </c>
      <c r="C409" s="11" t="inlineStr">
        <is>
          <t>KPMG 安侯建業</t>
        </is>
      </c>
      <c r="D409" s="11" t="inlineStr">
        <is>
          <t>陳盈如</t>
        </is>
      </c>
      <c r="E409" s="10" t="inlineStr">
        <is>
          <t>台北總所</t>
        </is>
      </c>
      <c r="F409" s="12" t="inlineStr">
        <is>
          <t>台北市信義區信義路五段7號68樓</t>
        </is>
      </c>
      <c r="G409" s="12" t="inlineStr">
        <is>
          <t>台北市信義區信義路五段7號68樓</t>
        </is>
      </c>
      <c r="H409" s="12" t="inlineStr"/>
      <c r="I409" s="10" t="inlineStr"/>
      <c r="J409" s="11" t="inlineStr"/>
      <c r="K409" s="10" t="inlineStr">
        <is>
          <t>北市</t>
        </is>
      </c>
      <c r="L409" s="10" t="inlineStr">
        <is>
          <t>094/05/20</t>
        </is>
      </c>
      <c r="M409" s="10" t="inlineStr">
        <is>
          <t>2752</t>
        </is>
      </c>
      <c r="N409" s="10" t="inlineStr">
        <is>
          <t>2026-06-05</t>
        </is>
      </c>
      <c r="O409" s="11" t="inlineStr">
        <is>
          <t>https://www.roccpa.org.tw/member_search/more?id=0E0750AD-04C3-4887-A6A1-2970C84C0BB2</t>
        </is>
      </c>
    </row>
    <row r="410">
      <c r="A410" s="10" t="n">
        <v>409</v>
      </c>
      <c r="B410" s="11" t="inlineStr">
        <is>
          <t>安侯建業聯合會計師事務所</t>
        </is>
      </c>
      <c r="C410" s="11" t="inlineStr">
        <is>
          <t>KPMG 安侯建業</t>
        </is>
      </c>
      <c r="D410" s="11" t="inlineStr">
        <is>
          <t>陳蓓琪</t>
        </is>
      </c>
      <c r="E410" s="10" t="inlineStr">
        <is>
          <t>台北總所</t>
        </is>
      </c>
      <c r="F410" s="12" t="inlineStr">
        <is>
          <t>台北市信義區信義路五段7號68樓</t>
        </is>
      </c>
      <c r="G410" s="12" t="inlineStr">
        <is>
          <t>台北市信義區信義路五段7號68樓</t>
        </is>
      </c>
      <c r="H410" s="12" t="inlineStr"/>
      <c r="I410" s="10" t="inlineStr"/>
      <c r="J410" s="11" t="inlineStr"/>
      <c r="K410" s="10" t="inlineStr">
        <is>
          <t>北市</t>
        </is>
      </c>
      <c r="L410" s="10" t="inlineStr">
        <is>
          <t>096/11/07</t>
        </is>
      </c>
      <c r="M410" s="10" t="inlineStr">
        <is>
          <t>2972</t>
        </is>
      </c>
      <c r="N410" s="10" t="inlineStr">
        <is>
          <t>2026-06-05</t>
        </is>
      </c>
      <c r="O410" s="11" t="inlineStr">
        <is>
          <t>https://www.roccpa.org.tw/member_search/more?id=7A8E3BE0-6740-43D0-9AD1-8F63F22334B1</t>
        </is>
      </c>
    </row>
    <row r="411">
      <c r="A411" s="10" t="n">
        <v>410</v>
      </c>
      <c r="B411" s="11" t="inlineStr">
        <is>
          <t>安侯建業聯合會計師事務所</t>
        </is>
      </c>
      <c r="C411" s="11" t="inlineStr">
        <is>
          <t>KPMG 安侯建業</t>
        </is>
      </c>
      <c r="D411" s="11" t="inlineStr">
        <is>
          <t>陳雅琳</t>
        </is>
      </c>
      <c r="E411" s="10" t="inlineStr">
        <is>
          <t>台北總所</t>
        </is>
      </c>
      <c r="F411" s="12" t="inlineStr">
        <is>
          <t>台北市信義區信義路五段7號68樓</t>
        </is>
      </c>
      <c r="G411" s="12" t="inlineStr">
        <is>
          <t>台北市信義區信義路五段7號68樓</t>
        </is>
      </c>
      <c r="H411" s="12" t="inlineStr"/>
      <c r="I411" s="10" t="inlineStr"/>
      <c r="J411" s="11" t="inlineStr"/>
      <c r="K411" s="10" t="inlineStr">
        <is>
          <t>北市</t>
        </is>
      </c>
      <c r="L411" s="10" t="inlineStr">
        <is>
          <t>085/12/31</t>
        </is>
      </c>
      <c r="M411" s="10" t="inlineStr">
        <is>
          <t>1890</t>
        </is>
      </c>
      <c r="N411" s="10" t="inlineStr">
        <is>
          <t>2026-06-05</t>
        </is>
      </c>
      <c r="O411" s="11" t="inlineStr">
        <is>
          <t>https://www.roccpa.org.tw/member_search/more?id=6AA176FB-046E-4EBC-96E4-8723BF23870B</t>
        </is>
      </c>
    </row>
    <row r="412">
      <c r="A412" s="10" t="n">
        <v>411</v>
      </c>
      <c r="B412" s="11" t="inlineStr">
        <is>
          <t>安侯建業聯合會計師事務所</t>
        </is>
      </c>
      <c r="C412" s="11" t="inlineStr">
        <is>
          <t>KPMG 安侯建業</t>
        </is>
      </c>
      <c r="D412" s="11" t="inlineStr">
        <is>
          <t>韓沂璉</t>
        </is>
      </c>
      <c r="E412" s="10" t="inlineStr">
        <is>
          <t>台北總所</t>
        </is>
      </c>
      <c r="F412" s="12" t="inlineStr">
        <is>
          <t>台北市信義區信義路五段7號68樓</t>
        </is>
      </c>
      <c r="G412" s="12" t="inlineStr">
        <is>
          <t>台北市信義區信義路五段7號68樓</t>
        </is>
      </c>
      <c r="H412" s="12" t="inlineStr"/>
      <c r="I412" s="10" t="inlineStr">
        <is>
          <t>109/01/31</t>
        </is>
      </c>
      <c r="J412" s="11" t="inlineStr">
        <is>
          <t>全聯會一字第1090039</t>
        </is>
      </c>
      <c r="K412" s="10" t="inlineStr">
        <is>
          <t>北市</t>
        </is>
      </c>
      <c r="L412" s="10" t="inlineStr">
        <is>
          <t>109/01/31</t>
        </is>
      </c>
      <c r="M412" s="10" t="inlineStr">
        <is>
          <t>4215</t>
        </is>
      </c>
      <c r="N412" s="10" t="inlineStr">
        <is>
          <t>2026-06-05</t>
        </is>
      </c>
      <c r="O412" s="11" t="inlineStr">
        <is>
          <t>https://www.roccpa.org.tw/member_search/more?id=6D166249-4183-453B-AA1C-5AFE8C05F975</t>
        </is>
      </c>
    </row>
    <row r="413">
      <c r="A413" s="10" t="n">
        <v>412</v>
      </c>
      <c r="B413" s="11" t="inlineStr">
        <is>
          <t>安侯建業聯合會計師事務所</t>
        </is>
      </c>
      <c r="C413" s="11" t="inlineStr">
        <is>
          <t>KPMG 安侯建業</t>
        </is>
      </c>
      <c r="D413" s="11" t="inlineStr">
        <is>
          <t>高靚玟</t>
        </is>
      </c>
      <c r="E413" s="10" t="inlineStr">
        <is>
          <t>台北總所</t>
        </is>
      </c>
      <c r="F413" s="12" t="inlineStr">
        <is>
          <t>台北市信義區信義路五段7號68樓</t>
        </is>
      </c>
      <c r="G413" s="12" t="inlineStr">
        <is>
          <t>台北市信義區信義路五段7號68樓</t>
        </is>
      </c>
      <c r="H413" s="12" t="inlineStr"/>
      <c r="I413" s="10" t="inlineStr">
        <is>
          <t>106/01/20</t>
        </is>
      </c>
      <c r="J413" s="11" t="inlineStr">
        <is>
          <t>全聯會一字第1060056</t>
        </is>
      </c>
      <c r="K413" s="10" t="inlineStr">
        <is>
          <t>北市</t>
        </is>
      </c>
      <c r="L413" s="10" t="inlineStr">
        <is>
          <t>106/02/06</t>
        </is>
      </c>
      <c r="M413" s="10" t="inlineStr">
        <is>
          <t>3989</t>
        </is>
      </c>
      <c r="N413" s="10" t="inlineStr">
        <is>
          <t>2026-06-05</t>
        </is>
      </c>
      <c r="O413" s="11" t="inlineStr">
        <is>
          <t>https://www.roccpa.org.tw/member_search/more?id=786487F1-765A-4582-B968-8F03BC337C80</t>
        </is>
      </c>
    </row>
    <row r="414">
      <c r="A414" s="10" t="n">
        <v>413</v>
      </c>
      <c r="B414" s="11" t="inlineStr">
        <is>
          <t>安侯建業聯合會計師事務所</t>
        </is>
      </c>
      <c r="C414" s="11" t="inlineStr">
        <is>
          <t>KPMG 安侯建業</t>
        </is>
      </c>
      <c r="D414" s="11" t="inlineStr">
        <is>
          <t>黃彥賓</t>
        </is>
      </c>
      <c r="E414" s="10" t="inlineStr">
        <is>
          <t>台北總所</t>
        </is>
      </c>
      <c r="F414" s="12" t="inlineStr">
        <is>
          <t>台北市信義區信義路五段7號68樓</t>
        </is>
      </c>
      <c r="G414" s="12" t="inlineStr">
        <is>
          <t>台北市信義區信義路五段7號68樓</t>
        </is>
      </c>
      <c r="H414" s="12" t="inlineStr"/>
      <c r="I414" s="10" t="inlineStr">
        <is>
          <t>111/06/13</t>
        </is>
      </c>
      <c r="J414" s="11" t="inlineStr">
        <is>
          <t>全聯會一字第1110224</t>
        </is>
      </c>
      <c r="K414" s="10" t="inlineStr">
        <is>
          <t>北市</t>
        </is>
      </c>
      <c r="L414" s="10" t="inlineStr">
        <is>
          <t>111/06/13</t>
        </is>
      </c>
      <c r="M414" s="10" t="inlineStr">
        <is>
          <t>4436</t>
        </is>
      </c>
      <c r="N414" s="10" t="inlineStr">
        <is>
          <t>2026-06-05</t>
        </is>
      </c>
      <c r="O414" s="11" t="inlineStr">
        <is>
          <t>https://www.roccpa.org.tw/member_search/more?id=5C8D52AE-CA66-4E74-B5DC-92F7A6D1C9DA</t>
        </is>
      </c>
    </row>
    <row r="415">
      <c r="A415" s="10" t="n">
        <v>414</v>
      </c>
      <c r="B415" s="11" t="inlineStr">
        <is>
          <t>安侯建業聯合會計師事務所</t>
        </is>
      </c>
      <c r="C415" s="11" t="inlineStr">
        <is>
          <t>KPMG 安侯建業</t>
        </is>
      </c>
      <c r="D415" s="11" t="inlineStr">
        <is>
          <t>黃明宏</t>
        </is>
      </c>
      <c r="E415" s="10" t="inlineStr">
        <is>
          <t>台北總所</t>
        </is>
      </c>
      <c r="F415" s="12" t="inlineStr">
        <is>
          <t>台北市信義區信義路五段7號68樓</t>
        </is>
      </c>
      <c r="G415" s="12" t="inlineStr">
        <is>
          <t>台北市信義區信義路五段7號68樓</t>
        </is>
      </c>
      <c r="H415" s="12" t="inlineStr"/>
      <c r="I415" s="10" t="inlineStr">
        <is>
          <t>106/01/20</t>
        </is>
      </c>
      <c r="J415" s="11" t="inlineStr">
        <is>
          <t>全聯會一字第1060055</t>
        </is>
      </c>
      <c r="K415" s="10" t="inlineStr">
        <is>
          <t>北市</t>
        </is>
      </c>
      <c r="L415" s="10" t="inlineStr">
        <is>
          <t>106/02/06</t>
        </is>
      </c>
      <c r="M415" s="10" t="inlineStr">
        <is>
          <t>3988</t>
        </is>
      </c>
      <c r="N415" s="10" t="inlineStr">
        <is>
          <t>2026-06-05</t>
        </is>
      </c>
      <c r="O415" s="11" t="inlineStr">
        <is>
          <t>https://www.roccpa.org.tw/member_search/more?id=80BDD28F-1809-4C5E-8941-1A38EA95564F</t>
        </is>
      </c>
    </row>
    <row r="416">
      <c r="A416" s="10" t="n">
        <v>415</v>
      </c>
      <c r="B416" s="11" t="inlineStr">
        <is>
          <t>安侯建業聯合會計師事務所</t>
        </is>
      </c>
      <c r="C416" s="11" t="inlineStr">
        <is>
          <t>KPMG 安侯建業</t>
        </is>
      </c>
      <c r="D416" s="11" t="inlineStr">
        <is>
          <t>黃柏淑</t>
        </is>
      </c>
      <c r="E416" s="10" t="inlineStr">
        <is>
          <t>台北總所</t>
        </is>
      </c>
      <c r="F416" s="12" t="inlineStr">
        <is>
          <t>台北市信義區信義路五段7號68樓</t>
        </is>
      </c>
      <c r="G416" s="12" t="inlineStr">
        <is>
          <t>台北市信義區信義路五段7號68樓</t>
        </is>
      </c>
      <c r="H416" s="12" t="inlineStr"/>
      <c r="I416" s="10" t="inlineStr"/>
      <c r="J416" s="11" t="inlineStr"/>
      <c r="K416" s="10" t="inlineStr">
        <is>
          <t>北市</t>
        </is>
      </c>
      <c r="L416" s="10" t="inlineStr">
        <is>
          <t>091/02/01</t>
        </is>
      </c>
      <c r="M416" s="10" t="inlineStr">
        <is>
          <t>2437</t>
        </is>
      </c>
      <c r="N416" s="10" t="inlineStr">
        <is>
          <t>2026-06-05</t>
        </is>
      </c>
      <c r="O416" s="11" t="inlineStr">
        <is>
          <t>https://www.roccpa.org.tw/member_search/more?id=7AD90128-F919-4C20-AABD-8647FE1F660D</t>
        </is>
      </c>
    </row>
    <row r="417">
      <c r="A417" s="10" t="n">
        <v>416</v>
      </c>
      <c r="B417" s="11" t="inlineStr">
        <is>
          <t>安侯建業聯合會計師事務所</t>
        </is>
      </c>
      <c r="C417" s="11" t="inlineStr">
        <is>
          <t>KPMG 安侯建業</t>
        </is>
      </c>
      <c r="D417" s="11" t="inlineStr">
        <is>
          <t>黃欣婷</t>
        </is>
      </c>
      <c r="E417" s="10" t="inlineStr">
        <is>
          <t>台北總所</t>
        </is>
      </c>
      <c r="F417" s="12" t="inlineStr">
        <is>
          <t>台北市信義區信義路五段7號68樓</t>
        </is>
      </c>
      <c r="G417" s="12" t="inlineStr">
        <is>
          <t>台北市信義區信義路五段7號68樓</t>
        </is>
      </c>
      <c r="H417" s="12" t="inlineStr"/>
      <c r="I417" s="10" t="inlineStr">
        <is>
          <t>110/01/27</t>
        </is>
      </c>
      <c r="J417" s="11" t="inlineStr">
        <is>
          <t>全聯會一字第1100044</t>
        </is>
      </c>
      <c r="K417" s="10" t="inlineStr">
        <is>
          <t>北市</t>
        </is>
      </c>
      <c r="L417" s="10" t="inlineStr">
        <is>
          <t>110/01/27</t>
        </is>
      </c>
      <c r="M417" s="10" t="inlineStr">
        <is>
          <t>4299</t>
        </is>
      </c>
      <c r="N417" s="10" t="inlineStr">
        <is>
          <t>2026-06-05</t>
        </is>
      </c>
      <c r="O417" s="11" t="inlineStr">
        <is>
          <t>https://www.roccpa.org.tw/member_search/more?id=2069DD92-F66F-497D-AC58-1832EC964556</t>
        </is>
      </c>
    </row>
    <row r="418">
      <c r="A418" s="10" t="n">
        <v>417</v>
      </c>
      <c r="B418" s="11" t="inlineStr">
        <is>
          <t>安侯建業聯合會計師事務所</t>
        </is>
      </c>
      <c r="C418" s="11" t="inlineStr">
        <is>
          <t>KPMG 安侯建業</t>
        </is>
      </c>
      <c r="D418" s="11" t="inlineStr">
        <is>
          <t>黃泳華</t>
        </is>
      </c>
      <c r="E418" s="10" t="inlineStr">
        <is>
          <t>台北總所</t>
        </is>
      </c>
      <c r="F418" s="12" t="inlineStr">
        <is>
          <t>台北市信義區信義路五段7號68樓</t>
        </is>
      </c>
      <c r="G418" s="12" t="inlineStr">
        <is>
          <t>台北市信義區信義路五段7號68樓</t>
        </is>
      </c>
      <c r="H418" s="12" t="inlineStr"/>
      <c r="I418" s="10" t="inlineStr">
        <is>
          <t>101/01/19</t>
        </is>
      </c>
      <c r="J418" s="11" t="inlineStr">
        <is>
          <t>全聯會一字第1010019</t>
        </is>
      </c>
      <c r="K418" s="10" t="inlineStr">
        <is>
          <t>北市</t>
        </is>
      </c>
      <c r="L418" s="10" t="inlineStr">
        <is>
          <t>101/02/06</t>
        </is>
      </c>
      <c r="M418" s="10" t="inlineStr">
        <is>
          <t>3418</t>
        </is>
      </c>
      <c r="N418" s="10" t="inlineStr">
        <is>
          <t>2026-06-05</t>
        </is>
      </c>
      <c r="O418" s="11" t="inlineStr">
        <is>
          <t>https://www.roccpa.org.tw/member_search/more?id=2F2BCB28-FEF1-44FA-AD97-6C8DDCDA812A</t>
        </is>
      </c>
    </row>
    <row r="419">
      <c r="A419" s="10" t="n">
        <v>418</v>
      </c>
      <c r="B419" s="11" t="inlineStr">
        <is>
          <t>安侯建業聯合會計師事務所</t>
        </is>
      </c>
      <c r="C419" s="11" t="inlineStr">
        <is>
          <t>KPMG 安侯建業</t>
        </is>
      </c>
      <c r="D419" s="11" t="inlineStr">
        <is>
          <t>黃素貞</t>
        </is>
      </c>
      <c r="E419" s="10" t="inlineStr">
        <is>
          <t>台北總所</t>
        </is>
      </c>
      <c r="F419" s="12" t="inlineStr">
        <is>
          <t>台北市信義區信義路五段7號68樓</t>
        </is>
      </c>
      <c r="G419" s="12" t="inlineStr">
        <is>
          <t>台北市信義區信義路五段7號68樓</t>
        </is>
      </c>
      <c r="H419" s="12" t="inlineStr"/>
      <c r="I419" s="10" t="inlineStr"/>
      <c r="J419" s="11" t="inlineStr"/>
      <c r="K419" s="10" t="inlineStr">
        <is>
          <t>北市</t>
        </is>
      </c>
      <c r="L419" s="10" t="inlineStr">
        <is>
          <t>086/10/02</t>
        </is>
      </c>
      <c r="M419" s="10" t="inlineStr">
        <is>
          <t>1951</t>
        </is>
      </c>
      <c r="N419" s="10" t="inlineStr">
        <is>
          <t>2026-06-05</t>
        </is>
      </c>
      <c r="O419" s="11" t="inlineStr">
        <is>
          <t>https://www.roccpa.org.tw/member_search/more?id=A314A8BF-6517-411B-BF3B-F6D7552F3C90</t>
        </is>
      </c>
    </row>
    <row r="420">
      <c r="A420" s="10" t="n">
        <v>419</v>
      </c>
      <c r="B420" s="11" t="inlineStr">
        <is>
          <t>安侯建業聯合會計師事務所</t>
        </is>
      </c>
      <c r="C420" s="11" t="inlineStr">
        <is>
          <t>KPMG 安侯建業</t>
        </is>
      </c>
      <c r="D420" s="11" t="inlineStr">
        <is>
          <t>黃郁婷</t>
        </is>
      </c>
      <c r="E420" s="10" t="inlineStr">
        <is>
          <t>台北總所</t>
        </is>
      </c>
      <c r="F420" s="12" t="inlineStr">
        <is>
          <t>台北市信義區信義路五段7號68樓</t>
        </is>
      </c>
      <c r="G420" s="12" t="inlineStr">
        <is>
          <t>台北市信義區信義路五段7號68樓</t>
        </is>
      </c>
      <c r="H420" s="12" t="inlineStr"/>
      <c r="I420" s="10" t="inlineStr">
        <is>
          <t>112/02/06</t>
        </is>
      </c>
      <c r="J420" s="11" t="inlineStr">
        <is>
          <t>全聯會一字第1120067</t>
        </is>
      </c>
      <c r="K420" s="10" t="inlineStr">
        <is>
          <t>北市</t>
        </is>
      </c>
      <c r="L420" s="10" t="inlineStr">
        <is>
          <t>112/02/06</t>
        </is>
      </c>
      <c r="M420" s="10" t="inlineStr">
        <is>
          <t>4497</t>
        </is>
      </c>
      <c r="N420" s="10" t="inlineStr">
        <is>
          <t>2026-06-05</t>
        </is>
      </c>
      <c r="O420" s="11" t="inlineStr">
        <is>
          <t>https://www.roccpa.org.tw/member_search/more?id=50CFC1C9-AE02-42ED-BD5F-33A373463452</t>
        </is>
      </c>
    </row>
    <row r="421">
      <c r="A421" s="10" t="n">
        <v>420</v>
      </c>
      <c r="B421" s="11" t="inlineStr">
        <is>
          <t>安侯建業聯合會計師事務所</t>
        </is>
      </c>
      <c r="C421" s="11" t="inlineStr">
        <is>
          <t>KPMG 安侯建業</t>
        </is>
      </c>
      <c r="D421" s="11" t="inlineStr">
        <is>
          <t>黃采絹</t>
        </is>
      </c>
      <c r="E421" s="10" t="inlineStr">
        <is>
          <t>台北總所</t>
        </is>
      </c>
      <c r="F421" s="12" t="inlineStr">
        <is>
          <t>台北市信義區信義路五段7號68樓</t>
        </is>
      </c>
      <c r="G421" s="12" t="inlineStr">
        <is>
          <t>台北市信義區信義路五段7號68樓</t>
        </is>
      </c>
      <c r="H421" s="12" t="inlineStr"/>
      <c r="I421" s="10" t="inlineStr">
        <is>
          <t>114/01/13</t>
        </is>
      </c>
      <c r="J421" s="11" t="inlineStr">
        <is>
          <t>全聯會一字第1140000038號</t>
        </is>
      </c>
      <c r="K421" s="10" t="inlineStr">
        <is>
          <t>北市</t>
        </is>
      </c>
      <c r="L421" s="10" t="inlineStr">
        <is>
          <t>114/01/13</t>
        </is>
      </c>
      <c r="M421" s="10" t="inlineStr">
        <is>
          <t>4694</t>
        </is>
      </c>
      <c r="N421" s="10" t="inlineStr">
        <is>
          <t>2026-06-05</t>
        </is>
      </c>
      <c r="O421" s="11" t="inlineStr">
        <is>
          <t>https://www.roccpa.org.tw/member_search/more?id=01AA7495-4ED9-473D-B152-4727543CA2CE</t>
        </is>
      </c>
    </row>
    <row r="422">
      <c r="A422" s="10" t="n">
        <v>421</v>
      </c>
      <c r="B422" s="11" t="inlineStr">
        <is>
          <t>安侯建業聯合會計師事務所</t>
        </is>
      </c>
      <c r="C422" s="11" t="inlineStr">
        <is>
          <t>KPMG 安侯建業</t>
        </is>
      </c>
      <c r="D422" s="11" t="inlineStr">
        <is>
          <t>吳俊源</t>
        </is>
      </c>
      <c r="E422" s="10" t="inlineStr">
        <is>
          <t>新竹分所</t>
        </is>
      </c>
      <c r="F422" s="12" t="inlineStr">
        <is>
          <t>新竹市科學園區展業一路11號</t>
        </is>
      </c>
      <c r="G422" s="12" t="inlineStr">
        <is>
          <t>台北市信義區信義路五段7號68樓</t>
        </is>
      </c>
      <c r="H422" s="12" t="inlineStr">
        <is>
          <t>新竹市科學園區展業一路11號</t>
        </is>
      </c>
      <c r="I422" s="10" t="inlineStr">
        <is>
          <t>103/12/29</t>
        </is>
      </c>
      <c r="J422" s="11" t="inlineStr">
        <is>
          <t>全聯會一字第1030484</t>
        </is>
      </c>
      <c r="K422" s="10" t="inlineStr">
        <is>
          <t>省</t>
        </is>
      </c>
      <c r="L422" s="10" t="inlineStr">
        <is>
          <t>104/03/02</t>
        </is>
      </c>
      <c r="M422" s="10" t="inlineStr">
        <is>
          <t>4342</t>
        </is>
      </c>
      <c r="N422" s="10" t="inlineStr">
        <is>
          <t>2026-06-05</t>
        </is>
      </c>
      <c r="O422" s="11" t="inlineStr">
        <is>
          <t>https://www.roccpa.org.tw/member_search/more?id=B0A1211F-7D8F-4A0B-98D0-EE1017DEA681</t>
        </is>
      </c>
    </row>
    <row r="423">
      <c r="A423" s="10" t="n">
        <v>422</v>
      </c>
      <c r="B423" s="11" t="inlineStr">
        <is>
          <t>安侯建業聯合會計師事務所</t>
        </is>
      </c>
      <c r="C423" s="11" t="inlineStr">
        <is>
          <t>KPMG 安侯建業</t>
        </is>
      </c>
      <c r="D423" s="11" t="inlineStr">
        <is>
          <t>呂倩慧</t>
        </is>
      </c>
      <c r="E423" s="10" t="inlineStr">
        <is>
          <t>新竹分所</t>
        </is>
      </c>
      <c r="F423" s="12" t="inlineStr">
        <is>
          <t>新竹市科學園區展業一路11號</t>
        </is>
      </c>
      <c r="G423" s="12" t="inlineStr">
        <is>
          <t>台北市信義區信義路五段7號68樓</t>
        </is>
      </c>
      <c r="H423" s="12" t="inlineStr">
        <is>
          <t>新竹市科學園區展業一路11號</t>
        </is>
      </c>
      <c r="I423" s="10" t="inlineStr">
        <is>
          <t>104/02/17</t>
        </is>
      </c>
      <c r="J423" s="11" t="inlineStr">
        <is>
          <t>全聯會一字第1040083</t>
        </is>
      </c>
      <c r="K423" s="10" t="inlineStr">
        <is>
          <t>省</t>
        </is>
      </c>
      <c r="L423" s="10" t="inlineStr">
        <is>
          <t>104/03/02</t>
        </is>
      </c>
      <c r="M423" s="10" t="inlineStr">
        <is>
          <t>4344</t>
        </is>
      </c>
      <c r="N423" s="10" t="inlineStr">
        <is>
          <t>2026-06-05</t>
        </is>
      </c>
      <c r="O423" s="11" t="inlineStr">
        <is>
          <t>https://www.roccpa.org.tw/member_search/more?id=E29555E3-76B9-43AC-B1AF-0E3E32263A68</t>
        </is>
      </c>
    </row>
    <row r="424">
      <c r="A424" s="10" t="n">
        <v>423</v>
      </c>
      <c r="B424" s="11" t="inlineStr">
        <is>
          <t>安侯建業聯合會計師事務所</t>
        </is>
      </c>
      <c r="C424" s="11" t="inlineStr">
        <is>
          <t>KPMG 安侯建業</t>
        </is>
      </c>
      <c r="D424" s="11" t="inlineStr">
        <is>
          <t>鄭安志</t>
        </is>
      </c>
      <c r="E424" s="10" t="inlineStr">
        <is>
          <t>新竹分所</t>
        </is>
      </c>
      <c r="F424" s="12" t="inlineStr">
        <is>
          <t>新竹市科學園區展業一路11號</t>
        </is>
      </c>
      <c r="G424" s="12" t="inlineStr">
        <is>
          <t>台北市信義區信義路五段7號68樓</t>
        </is>
      </c>
      <c r="H424" s="12" t="inlineStr">
        <is>
          <t>新竹市科學園區展業一路11號</t>
        </is>
      </c>
      <c r="I424" s="10" t="inlineStr">
        <is>
          <t>106/01/20</t>
        </is>
      </c>
      <c r="J424" s="11" t="inlineStr">
        <is>
          <t>全聯會一字第1060054</t>
        </is>
      </c>
      <c r="K424" s="10" t="inlineStr">
        <is>
          <t>省</t>
        </is>
      </c>
      <c r="L424" s="10" t="inlineStr">
        <is>
          <t>106/02/07</t>
        </is>
      </c>
      <c r="M424" s="10" t="inlineStr">
        <is>
          <t>4555</t>
        </is>
      </c>
      <c r="N424" s="10" t="inlineStr">
        <is>
          <t>2026-06-05</t>
        </is>
      </c>
      <c r="O424" s="11" t="inlineStr">
        <is>
          <t>https://www.roccpa.org.tw/member_search/more?id=4617A91B-60B3-4FA0-8F7A-45CD35BAF6B5</t>
        </is>
      </c>
    </row>
    <row r="425">
      <c r="A425" s="10" t="n">
        <v>424</v>
      </c>
      <c r="B425" s="11" t="inlineStr">
        <is>
          <t>安侯建業聯合會計師事務所</t>
        </is>
      </c>
      <c r="C425" s="11" t="inlineStr">
        <is>
          <t>KPMG 安侯建業</t>
        </is>
      </c>
      <c r="D425" s="11" t="inlineStr">
        <is>
          <t>黃海寧</t>
        </is>
      </c>
      <c r="E425" s="10" t="inlineStr">
        <is>
          <t>新竹分所</t>
        </is>
      </c>
      <c r="F425" s="12" t="inlineStr">
        <is>
          <t>新竹市科學園區展業一路11號</t>
        </is>
      </c>
      <c r="G425" s="12" t="inlineStr">
        <is>
          <t>台北市信義區信義路五段7號68樓</t>
        </is>
      </c>
      <c r="H425" s="12" t="inlineStr">
        <is>
          <t>新竹市科學園區展業一路11號</t>
        </is>
      </c>
      <c r="I425" s="10" t="inlineStr">
        <is>
          <t>100/03/14</t>
        </is>
      </c>
      <c r="J425" s="11" t="inlineStr">
        <is>
          <t>全聯會一字第1000094</t>
        </is>
      </c>
      <c r="K425" s="10" t="inlineStr">
        <is>
          <t>省</t>
        </is>
      </c>
      <c r="L425" s="10" t="inlineStr">
        <is>
          <t>100/03/16</t>
        </is>
      </c>
      <c r="M425" s="10" t="inlineStr">
        <is>
          <t>3818</t>
        </is>
      </c>
      <c r="N425" s="10" t="inlineStr">
        <is>
          <t>2026-06-05</t>
        </is>
      </c>
      <c r="O425" s="11" t="inlineStr">
        <is>
          <t>https://www.roccpa.org.tw/member_search/more?id=3FCAF940-6BEF-4C52-B847-2183F92230E7</t>
        </is>
      </c>
    </row>
    <row r="426">
      <c r="A426" s="10" t="n">
        <v>425</v>
      </c>
      <c r="B426" s="11" t="inlineStr">
        <is>
          <t>安侯建業聯合會計師事務所</t>
        </is>
      </c>
      <c r="C426" s="11" t="inlineStr">
        <is>
          <t>KPMG 安侯建業</t>
        </is>
      </c>
      <c r="D426" s="11" t="inlineStr">
        <is>
          <t>張字信</t>
        </is>
      </c>
      <c r="E426" s="10" t="inlineStr">
        <is>
          <t>台中分所</t>
        </is>
      </c>
      <c r="F426" s="12" t="inlineStr">
        <is>
          <t>台中市西屯區文心路二段201號7樓</t>
        </is>
      </c>
      <c r="G426" s="12" t="inlineStr">
        <is>
          <t>台北市信義區信義路五段7號68樓</t>
        </is>
      </c>
      <c r="H426" s="12" t="inlineStr">
        <is>
          <t>台中市西屯區文心路二段201號7樓</t>
        </is>
      </c>
      <c r="I426" s="10" t="inlineStr"/>
      <c r="J426" s="11" t="inlineStr"/>
      <c r="K426" s="10" t="inlineStr">
        <is>
          <t>中市</t>
        </is>
      </c>
      <c r="L426" s="10" t="inlineStr">
        <is>
          <t>100/08/24</t>
        </is>
      </c>
      <c r="M426" s="10" t="inlineStr">
        <is>
          <t>17</t>
        </is>
      </c>
      <c r="N426" s="10" t="inlineStr">
        <is>
          <t>2026-06-05</t>
        </is>
      </c>
      <c r="O426" s="11" t="inlineStr">
        <is>
          <t>https://www.roccpa.org.tw/member_search/more?id=630656B7-5B7F-40AA-A55A-8766CF0C41B1</t>
        </is>
      </c>
    </row>
    <row r="427">
      <c r="A427" s="10" t="n">
        <v>426</v>
      </c>
      <c r="B427" s="11" t="inlineStr">
        <is>
          <t>安侯建業聯合會計師事務所</t>
        </is>
      </c>
      <c r="C427" s="11" t="inlineStr">
        <is>
          <t>KPMG 安侯建業</t>
        </is>
      </c>
      <c r="D427" s="11" t="inlineStr">
        <is>
          <t>陳政學</t>
        </is>
      </c>
      <c r="E427" s="10" t="inlineStr">
        <is>
          <t>台中分所</t>
        </is>
      </c>
      <c r="F427" s="12" t="inlineStr">
        <is>
          <t>台中市西屯區文心路二段201號7樓</t>
        </is>
      </c>
      <c r="G427" s="12" t="inlineStr">
        <is>
          <t>台北市信義區信義路五段7號68樓</t>
        </is>
      </c>
      <c r="H427" s="12" t="inlineStr">
        <is>
          <t>台中市西屯區文心路二段201號7樓</t>
        </is>
      </c>
      <c r="I427" s="10" t="inlineStr">
        <is>
          <t>102/01/03</t>
        </is>
      </c>
      <c r="J427" s="11" t="inlineStr">
        <is>
          <t>全聯會一字第1020006</t>
        </is>
      </c>
      <c r="K427" s="10" t="inlineStr">
        <is>
          <t>中市</t>
        </is>
      </c>
      <c r="L427" s="10" t="inlineStr">
        <is>
          <t>102/01/07</t>
        </is>
      </c>
      <c r="M427" s="10" t="inlineStr">
        <is>
          <t>567</t>
        </is>
      </c>
      <c r="N427" s="10" t="inlineStr">
        <is>
          <t>2026-06-05</t>
        </is>
      </c>
      <c r="O427" s="11" t="inlineStr">
        <is>
          <t>https://www.roccpa.org.tw/member_search/more?id=0DA555A2-C446-4B49-B41E-0E70C9543545</t>
        </is>
      </c>
    </row>
    <row r="428">
      <c r="A428" s="10" t="n">
        <v>427</v>
      </c>
      <c r="B428" s="11" t="inlineStr">
        <is>
          <t>安侯建業聯合會計師事務所</t>
        </is>
      </c>
      <c r="C428" s="11" t="inlineStr">
        <is>
          <t>KPMG 安侯建業</t>
        </is>
      </c>
      <c r="D428" s="11" t="inlineStr">
        <is>
          <t>陳燕慧</t>
        </is>
      </c>
      <c r="E428" s="10" t="inlineStr">
        <is>
          <t>台中分所</t>
        </is>
      </c>
      <c r="F428" s="12" t="inlineStr">
        <is>
          <t>台中市西屯區文心路二段201號7樓</t>
        </is>
      </c>
      <c r="G428" s="12" t="inlineStr">
        <is>
          <t>台北市信義區信義路五段7號68樓</t>
        </is>
      </c>
      <c r="H428" s="12" t="inlineStr">
        <is>
          <t>台中市西屯區文心路二段201號7樓</t>
        </is>
      </c>
      <c r="I428" s="10" t="inlineStr">
        <is>
          <t>111/02/07</t>
        </is>
      </c>
      <c r="J428" s="11" t="inlineStr">
        <is>
          <t>全聯會一字第1110073</t>
        </is>
      </c>
      <c r="K428" s="10" t="inlineStr">
        <is>
          <t>中市</t>
        </is>
      </c>
      <c r="L428" s="10" t="inlineStr">
        <is>
          <t>111/02/07</t>
        </is>
      </c>
      <c r="M428" s="10" t="inlineStr">
        <is>
          <t>1052</t>
        </is>
      </c>
      <c r="N428" s="10" t="inlineStr">
        <is>
          <t>2026-06-05</t>
        </is>
      </c>
      <c r="O428" s="11" t="inlineStr">
        <is>
          <t>https://www.roccpa.org.tw/member_search/more?id=AD563AD3-0660-4901-8E68-222B9FB9DEBA</t>
        </is>
      </c>
    </row>
    <row r="429">
      <c r="A429" s="10" t="n">
        <v>428</v>
      </c>
      <c r="B429" s="11" t="inlineStr">
        <is>
          <t>安侯建業聯合會計師事務所</t>
        </is>
      </c>
      <c r="C429" s="11" t="inlineStr">
        <is>
          <t>KPMG 安侯建業</t>
        </is>
      </c>
      <c r="D429" s="11" t="inlineStr">
        <is>
          <t>蘇彥達</t>
        </is>
      </c>
      <c r="E429" s="10" t="inlineStr">
        <is>
          <t>台南分所</t>
        </is>
      </c>
      <c r="F429" s="12" t="inlineStr">
        <is>
          <t>台南市中西區民生路二段279號16樓</t>
        </is>
      </c>
      <c r="G429" s="12" t="inlineStr">
        <is>
          <t>台北市信義區信義路五段7號68樓</t>
        </is>
      </c>
      <c r="H429" s="12" t="inlineStr">
        <is>
          <t>台南市中西區民生路二段279號16樓</t>
        </is>
      </c>
      <c r="I429" s="10" t="inlineStr">
        <is>
          <t>107/02/01</t>
        </is>
      </c>
      <c r="J429" s="11" t="inlineStr">
        <is>
          <t>全聯會一字第1070073</t>
        </is>
      </c>
      <c r="K429" s="10" t="inlineStr"/>
      <c r="L429" s="10" t="inlineStr"/>
      <c r="M429" s="10" t="inlineStr">
        <is>
          <t>4622</t>
        </is>
      </c>
      <c r="N429" s="10" t="inlineStr">
        <is>
          <t>2026-06-05</t>
        </is>
      </c>
      <c r="O429" s="11" t="inlineStr">
        <is>
          <t>https://www.roccpa.org.tw/member_search/more?id=8F39AA6F-1893-41E7-8B3B-4D4D589F3E8B</t>
        </is>
      </c>
    </row>
    <row r="430">
      <c r="A430" s="10" t="n">
        <v>429</v>
      </c>
      <c r="B430" s="11" t="inlineStr">
        <is>
          <t>安侯建業聯合會計師事務所</t>
        </is>
      </c>
      <c r="C430" s="11" t="inlineStr">
        <is>
          <t>KPMG 安侯建業</t>
        </is>
      </c>
      <c r="D430" s="11" t="inlineStr">
        <is>
          <t>吳能吉</t>
        </is>
      </c>
      <c r="E430" s="10" t="inlineStr">
        <is>
          <t>高雄分所</t>
        </is>
      </c>
      <c r="F430" s="12" t="inlineStr">
        <is>
          <t>高雄市前金區中正四路211號12樓之6</t>
        </is>
      </c>
      <c r="G430" s="12" t="inlineStr">
        <is>
          <t>台北市信義區信義路五段7號68樓</t>
        </is>
      </c>
      <c r="H430" s="12" t="inlineStr">
        <is>
          <t>高雄市前金區中正四路211號12樓之6</t>
        </is>
      </c>
      <c r="I430" s="10" t="inlineStr">
        <is>
          <t>110/08/02</t>
        </is>
      </c>
      <c r="J430" s="11" t="inlineStr">
        <is>
          <t>全聯會一字第1100320</t>
        </is>
      </c>
      <c r="K430" s="10" t="inlineStr">
        <is>
          <t>高市</t>
        </is>
      </c>
      <c r="L430" s="10" t="inlineStr">
        <is>
          <t>110/08/02</t>
        </is>
      </c>
      <c r="M430" s="10" t="inlineStr">
        <is>
          <t>1080</t>
        </is>
      </c>
      <c r="N430" s="10" t="inlineStr">
        <is>
          <t>2026-06-05</t>
        </is>
      </c>
      <c r="O430" s="11" t="inlineStr">
        <is>
          <t>https://www.roccpa.org.tw/member_search/more?id=3F6C967C-B170-4AC6-9C36-17B5BA76E550</t>
        </is>
      </c>
    </row>
    <row r="431">
      <c r="A431" s="10" t="n">
        <v>430</v>
      </c>
      <c r="B431" s="11" t="inlineStr">
        <is>
          <t>安侯建業聯合會計師事務所</t>
        </is>
      </c>
      <c r="C431" s="11" t="inlineStr">
        <is>
          <t>KPMG 安侯建業</t>
        </is>
      </c>
      <c r="D431" s="11" t="inlineStr">
        <is>
          <t>許振隆</t>
        </is>
      </c>
      <c r="E431" s="10" t="inlineStr">
        <is>
          <t>高雄分所</t>
        </is>
      </c>
      <c r="F431" s="12" t="inlineStr">
        <is>
          <t>高雄市前金區中正四路211號12樓之6</t>
        </is>
      </c>
      <c r="G431" s="12" t="inlineStr">
        <is>
          <t>台北市信義區信義路五段7號68樓</t>
        </is>
      </c>
      <c r="H431" s="12" t="inlineStr">
        <is>
          <t>高雄市前金區中正四路211號12樓之6</t>
        </is>
      </c>
      <c r="I431" s="10" t="inlineStr"/>
      <c r="J431" s="11" t="inlineStr"/>
      <c r="K431" s="10" t="inlineStr">
        <is>
          <t>高市</t>
        </is>
      </c>
      <c r="L431" s="10" t="inlineStr">
        <is>
          <t>092/03/07</t>
        </is>
      </c>
      <c r="M431" s="10" t="inlineStr">
        <is>
          <t>518</t>
        </is>
      </c>
      <c r="N431" s="10" t="inlineStr">
        <is>
          <t>2026-06-05</t>
        </is>
      </c>
      <c r="O431" s="11" t="inlineStr">
        <is>
          <t>https://www.roccpa.org.tw/member_search/more?id=3570198D-9AFD-4777-BCF0-E2128781E173</t>
        </is>
      </c>
    </row>
    <row r="432">
      <c r="A432" s="10" t="n">
        <v>431</v>
      </c>
      <c r="B432" s="11" t="inlineStr">
        <is>
          <t>安侯建業聯合會計師事務所</t>
        </is>
      </c>
      <c r="C432" s="11" t="inlineStr">
        <is>
          <t>KPMG 安侯建業</t>
        </is>
      </c>
      <c r="D432" s="11" t="inlineStr">
        <is>
          <t>陳永祥</t>
        </is>
      </c>
      <c r="E432" s="10" t="inlineStr">
        <is>
          <t>高雄分所</t>
        </is>
      </c>
      <c r="F432" s="12" t="inlineStr">
        <is>
          <t>高雄市前金區中正四路211號12樓之6</t>
        </is>
      </c>
      <c r="G432" s="12" t="inlineStr">
        <is>
          <t>台北市信義區信義路五段7號68樓</t>
        </is>
      </c>
      <c r="H432" s="12" t="inlineStr">
        <is>
          <t>高雄市前金區中正四路211號12樓之6</t>
        </is>
      </c>
      <c r="I432" s="10" t="inlineStr">
        <is>
          <t>111/02/07</t>
        </is>
      </c>
      <c r="J432" s="11" t="inlineStr">
        <is>
          <t>全聯會一字第1110072</t>
        </is>
      </c>
      <c r="K432" s="10" t="inlineStr">
        <is>
          <t>高市</t>
        </is>
      </c>
      <c r="L432" s="10" t="inlineStr">
        <is>
          <t>111/02/07</t>
        </is>
      </c>
      <c r="M432" s="10" t="inlineStr">
        <is>
          <t>1089</t>
        </is>
      </c>
      <c r="N432" s="10" t="inlineStr">
        <is>
          <t>2026-06-05</t>
        </is>
      </c>
      <c r="O432" s="11" t="inlineStr">
        <is>
          <t>https://www.roccpa.org.tw/member_search/more?id=E8EFC46B-2D85-4695-93F9-E463532E66B5</t>
        </is>
      </c>
    </row>
    <row r="433">
      <c r="A433" s="10" t="n">
        <v>432</v>
      </c>
      <c r="B433" s="11" t="inlineStr">
        <is>
          <t>安侯建業聯合會計師事務所</t>
        </is>
      </c>
      <c r="C433" s="11" t="inlineStr">
        <is>
          <t>KPMG 安侯建業</t>
        </is>
      </c>
      <c r="D433" s="11" t="inlineStr">
        <is>
          <t>高鈺倫</t>
        </is>
      </c>
      <c r="E433" s="10" t="inlineStr">
        <is>
          <t>高雄分所</t>
        </is>
      </c>
      <c r="F433" s="12" t="inlineStr">
        <is>
          <t>高雄市前金區中正四路211號12樓之6</t>
        </is>
      </c>
      <c r="G433" s="12" t="inlineStr">
        <is>
          <t>台北市信義區信義路五段7號68樓</t>
        </is>
      </c>
      <c r="H433" s="12" t="inlineStr">
        <is>
          <t>高雄市前金區中正四路211號12樓之6</t>
        </is>
      </c>
      <c r="I433" s="10" t="inlineStr">
        <is>
          <t>113/01/15</t>
        </is>
      </c>
      <c r="J433" s="11" t="inlineStr">
        <is>
          <t>全聯會一字第1130000030號</t>
        </is>
      </c>
      <c r="K433" s="10" t="inlineStr">
        <is>
          <t>高市</t>
        </is>
      </c>
      <c r="L433" s="10" t="inlineStr">
        <is>
          <t>113/01/15</t>
        </is>
      </c>
      <c r="M433" s="10" t="inlineStr">
        <is>
          <t>1119</t>
        </is>
      </c>
      <c r="N433" s="10" t="inlineStr">
        <is>
          <t>2026-06-05</t>
        </is>
      </c>
      <c r="O433" s="11" t="inlineStr">
        <is>
          <t>https://www.roccpa.org.tw/member_search/more?id=CFDC78D2-A904-4F80-8C3A-D5BA9DB88734</t>
        </is>
      </c>
    </row>
    <row r="434">
      <c r="A434" s="10" t="n">
        <v>433</v>
      </c>
      <c r="B434" s="11" t="inlineStr">
        <is>
          <t>安永聯合會計師事務所</t>
        </is>
      </c>
      <c r="C434" s="11" t="inlineStr">
        <is>
          <t>EY 安永</t>
        </is>
      </c>
      <c r="D434" s="11" t="inlineStr">
        <is>
          <t>何淑芬</t>
        </is>
      </c>
      <c r="E434" s="10" t="inlineStr">
        <is>
          <t>台北總所</t>
        </is>
      </c>
      <c r="F434" s="12" t="inlineStr">
        <is>
          <t>台北市信義區基隆路一段333號9樓</t>
        </is>
      </c>
      <c r="G434" s="12" t="inlineStr">
        <is>
          <t>台北市信義區基隆路一段333號9樓</t>
        </is>
      </c>
      <c r="H434" s="12" t="inlineStr"/>
      <c r="I434" s="10" t="inlineStr">
        <is>
          <t>100/07/12</t>
        </is>
      </c>
      <c r="J434" s="11" t="inlineStr">
        <is>
          <t>全聯會一字第1000275</t>
        </is>
      </c>
      <c r="K434" s="10" t="inlineStr">
        <is>
          <t>北市</t>
        </is>
      </c>
      <c r="L434" s="10" t="inlineStr">
        <is>
          <t>100/08/10</t>
        </is>
      </c>
      <c r="M434" s="10" t="inlineStr">
        <is>
          <t>3376</t>
        </is>
      </c>
      <c r="N434" s="10" t="inlineStr">
        <is>
          <t>2026-06-05</t>
        </is>
      </c>
      <c r="O434" s="11" t="inlineStr">
        <is>
          <t>https://www.roccpa.org.tw/member_search/more?id=DF676DCA-9804-485F-8CB7-70C790413E6F</t>
        </is>
      </c>
    </row>
    <row r="435">
      <c r="A435" s="10" t="n">
        <v>434</v>
      </c>
      <c r="B435" s="11" t="inlineStr">
        <is>
          <t>安永聯合會計師事務所</t>
        </is>
      </c>
      <c r="C435" s="11" t="inlineStr">
        <is>
          <t>EY 安永</t>
        </is>
      </c>
      <c r="D435" s="11" t="inlineStr">
        <is>
          <t>余倩如</t>
        </is>
      </c>
      <c r="E435" s="10" t="inlineStr">
        <is>
          <t>台北總所</t>
        </is>
      </c>
      <c r="F435" s="12" t="inlineStr">
        <is>
          <t>台北市信義區基隆路一段333號9樓</t>
        </is>
      </c>
      <c r="G435" s="12" t="inlineStr">
        <is>
          <t>台北市信義區基隆路一段333號9樓</t>
        </is>
      </c>
      <c r="H435" s="12" t="inlineStr"/>
      <c r="I435" s="10" t="inlineStr">
        <is>
          <t>103/05/16</t>
        </is>
      </c>
      <c r="J435" s="11" t="inlineStr">
        <is>
          <t>全聯會一字第1030202</t>
        </is>
      </c>
      <c r="K435" s="10" t="inlineStr">
        <is>
          <t>北市</t>
        </is>
      </c>
      <c r="L435" s="10" t="inlineStr">
        <is>
          <t>103/06/06</t>
        </is>
      </c>
      <c r="M435" s="10" t="inlineStr">
        <is>
          <t>3703</t>
        </is>
      </c>
      <c r="N435" s="10" t="inlineStr">
        <is>
          <t>2026-06-05</t>
        </is>
      </c>
      <c r="O435" s="11" t="inlineStr">
        <is>
          <t>https://www.roccpa.org.tw/member_search/more?id=78CAD443-130E-4860-98C4-2131EA42F484</t>
        </is>
      </c>
    </row>
    <row r="436">
      <c r="A436" s="10" t="n">
        <v>435</v>
      </c>
      <c r="B436" s="11" t="inlineStr">
        <is>
          <t>安永聯合會計師事務所</t>
        </is>
      </c>
      <c r="C436" s="11" t="inlineStr">
        <is>
          <t>EY 安永</t>
        </is>
      </c>
      <c r="D436" s="11" t="inlineStr">
        <is>
          <t>傅文芳</t>
        </is>
      </c>
      <c r="E436" s="10" t="inlineStr">
        <is>
          <t>台北總所</t>
        </is>
      </c>
      <c r="F436" s="12" t="inlineStr">
        <is>
          <t>台北市信義區基隆路一段333號9樓</t>
        </is>
      </c>
      <c r="G436" s="12" t="inlineStr">
        <is>
          <t>台北市信義區基隆路一段333號9樓</t>
        </is>
      </c>
      <c r="H436" s="12" t="inlineStr"/>
      <c r="I436" s="10" t="inlineStr"/>
      <c r="J436" s="11" t="inlineStr"/>
      <c r="K436" s="10" t="inlineStr">
        <is>
          <t>北市</t>
        </is>
      </c>
      <c r="L436" s="10" t="inlineStr">
        <is>
          <t>086/07/08</t>
        </is>
      </c>
      <c r="M436" s="10" t="inlineStr">
        <is>
          <t>1923</t>
        </is>
      </c>
      <c r="N436" s="10" t="inlineStr">
        <is>
          <t>2026-06-05</t>
        </is>
      </c>
      <c r="O436" s="11" t="inlineStr">
        <is>
          <t>https://www.roccpa.org.tw/member_search/more?id=17DD0B8E-A574-4C6B-ACDE-CD46521679D3</t>
        </is>
      </c>
    </row>
    <row r="437">
      <c r="A437" s="10" t="n">
        <v>436</v>
      </c>
      <c r="B437" s="11" t="inlineStr">
        <is>
          <t>安永聯合會計師事務所</t>
        </is>
      </c>
      <c r="C437" s="11" t="inlineStr">
        <is>
          <t>EY 安永</t>
        </is>
      </c>
      <c r="D437" s="11" t="inlineStr">
        <is>
          <t>劉榮進</t>
        </is>
      </c>
      <c r="E437" s="10" t="inlineStr">
        <is>
          <t>台北總所</t>
        </is>
      </c>
      <c r="F437" s="12" t="inlineStr">
        <is>
          <t>台北市信義區基隆路一段333號9樓</t>
        </is>
      </c>
      <c r="G437" s="12" t="inlineStr">
        <is>
          <t>台北市信義區基隆路一段333號9樓</t>
        </is>
      </c>
      <c r="H437" s="12" t="inlineStr"/>
      <c r="I437" s="10" t="inlineStr">
        <is>
          <t>109/03/18</t>
        </is>
      </c>
      <c r="J437" s="11" t="inlineStr">
        <is>
          <t>全聯會ㄧ字第1090112</t>
        </is>
      </c>
      <c r="K437" s="10" t="inlineStr">
        <is>
          <t>北市</t>
        </is>
      </c>
      <c r="L437" s="10" t="inlineStr">
        <is>
          <t>109/03/18</t>
        </is>
      </c>
      <c r="M437" s="10" t="inlineStr">
        <is>
          <t>4235</t>
        </is>
      </c>
      <c r="N437" s="10" t="inlineStr">
        <is>
          <t>2026-06-05</t>
        </is>
      </c>
      <c r="O437" s="11" t="inlineStr">
        <is>
          <t>https://www.roccpa.org.tw/member_search/more?id=F148DA0D-CCB2-49DE-A376-B64F0B34EBC6</t>
        </is>
      </c>
    </row>
    <row r="438">
      <c r="A438" s="10" t="n">
        <v>437</v>
      </c>
      <c r="B438" s="11" t="inlineStr">
        <is>
          <t>安永聯合會計師事務所</t>
        </is>
      </c>
      <c r="C438" s="11" t="inlineStr">
        <is>
          <t>EY 安永</t>
        </is>
      </c>
      <c r="D438" s="11" t="inlineStr">
        <is>
          <t>吳培源</t>
        </is>
      </c>
      <c r="E438" s="10" t="inlineStr">
        <is>
          <t>台北總所</t>
        </is>
      </c>
      <c r="F438" s="12" t="inlineStr">
        <is>
          <t>台北市信義區基隆路一段333號9樓</t>
        </is>
      </c>
      <c r="G438" s="12" t="inlineStr">
        <is>
          <t>台北市信義區基隆路一段333號9樓</t>
        </is>
      </c>
      <c r="H438" s="12" t="inlineStr"/>
      <c r="I438" s="10" t="inlineStr">
        <is>
          <t>111/06/20</t>
        </is>
      </c>
      <c r="J438" s="11" t="inlineStr">
        <is>
          <t>全聯會一字第1110236</t>
        </is>
      </c>
      <c r="K438" s="10" t="inlineStr">
        <is>
          <t>北市</t>
        </is>
      </c>
      <c r="L438" s="10" t="inlineStr">
        <is>
          <t>111/06/20</t>
        </is>
      </c>
      <c r="M438" s="10" t="inlineStr">
        <is>
          <t>4443</t>
        </is>
      </c>
      <c r="N438" s="10" t="inlineStr">
        <is>
          <t>2026-06-05</t>
        </is>
      </c>
      <c r="O438" s="11" t="inlineStr">
        <is>
          <t>https://www.roccpa.org.tw/member_search/more?id=F0B94F11-6952-4AE7-9745-BF425450DBC3</t>
        </is>
      </c>
    </row>
    <row r="439">
      <c r="A439" s="10" t="n">
        <v>438</v>
      </c>
      <c r="B439" s="11" t="inlineStr">
        <is>
          <t>安永聯合會計師事務所</t>
        </is>
      </c>
      <c r="C439" s="11" t="inlineStr">
        <is>
          <t>EY 安永</t>
        </is>
      </c>
      <c r="D439" s="11" t="inlineStr">
        <is>
          <t>吳雅君</t>
        </is>
      </c>
      <c r="E439" s="10" t="inlineStr">
        <is>
          <t>台北總所</t>
        </is>
      </c>
      <c r="F439" s="12" t="inlineStr">
        <is>
          <t>台北市信義區基隆路一段333號9樓</t>
        </is>
      </c>
      <c r="G439" s="12" t="inlineStr">
        <is>
          <t>台北市信義區基隆路一段333號9樓</t>
        </is>
      </c>
      <c r="H439" s="12" t="inlineStr"/>
      <c r="I439" s="10" t="inlineStr">
        <is>
          <t>109/11/03</t>
        </is>
      </c>
      <c r="J439" s="11" t="inlineStr">
        <is>
          <t>全聯會一字第1090424</t>
        </is>
      </c>
      <c r="K439" s="10" t="inlineStr">
        <is>
          <t>北市</t>
        </is>
      </c>
      <c r="L439" s="10" t="inlineStr">
        <is>
          <t>109/11/03</t>
        </is>
      </c>
      <c r="M439" s="10" t="inlineStr">
        <is>
          <t>4281</t>
        </is>
      </c>
      <c r="N439" s="10" t="inlineStr">
        <is>
          <t>2026-06-05</t>
        </is>
      </c>
      <c r="O439" s="11" t="inlineStr">
        <is>
          <t>https://www.roccpa.org.tw/member_search/more?id=E4B561F2-68AD-4975-BFE1-3D55F95E60A3</t>
        </is>
      </c>
    </row>
    <row r="440">
      <c r="A440" s="10" t="n">
        <v>439</v>
      </c>
      <c r="B440" s="11" t="inlineStr">
        <is>
          <t>安永聯合會計師事務所</t>
        </is>
      </c>
      <c r="C440" s="11" t="inlineStr">
        <is>
          <t>EY 安永</t>
        </is>
      </c>
      <c r="D440" s="11" t="inlineStr">
        <is>
          <t>呂倩雯</t>
        </is>
      </c>
      <c r="E440" s="10" t="inlineStr">
        <is>
          <t>台北總所</t>
        </is>
      </c>
      <c r="F440" s="12" t="inlineStr">
        <is>
          <t>台北市信義區基隆路一段333號9樓</t>
        </is>
      </c>
      <c r="G440" s="12" t="inlineStr">
        <is>
          <t>台北市信義區基隆路一段333號9樓</t>
        </is>
      </c>
      <c r="H440" s="12" t="inlineStr"/>
      <c r="I440" s="10" t="inlineStr">
        <is>
          <t>107/07/02</t>
        </is>
      </c>
      <c r="J440" s="11" t="inlineStr">
        <is>
          <t>全聯會一字第1070276</t>
        </is>
      </c>
      <c r="K440" s="10" t="inlineStr">
        <is>
          <t>北市</t>
        </is>
      </c>
      <c r="L440" s="10" t="inlineStr">
        <is>
          <t>107/07/02</t>
        </is>
      </c>
      <c r="M440" s="10" t="inlineStr">
        <is>
          <t>4108</t>
        </is>
      </c>
      <c r="N440" s="10" t="inlineStr">
        <is>
          <t>2026-06-05</t>
        </is>
      </c>
      <c r="O440" s="11" t="inlineStr">
        <is>
          <t>https://www.roccpa.org.tw/member_search/more?id=DA1F65BC-E49F-4C17-B1A4-679868F83AFE</t>
        </is>
      </c>
    </row>
    <row r="441">
      <c r="A441" s="10" t="n">
        <v>440</v>
      </c>
      <c r="B441" s="11" t="inlineStr">
        <is>
          <t>安永聯合會計師事務所</t>
        </is>
      </c>
      <c r="C441" s="11" t="inlineStr">
        <is>
          <t>EY 安永</t>
        </is>
      </c>
      <c r="D441" s="11" t="inlineStr">
        <is>
          <t>孫孝文</t>
        </is>
      </c>
      <c r="E441" s="10" t="inlineStr">
        <is>
          <t>台北總所</t>
        </is>
      </c>
      <c r="F441" s="12" t="inlineStr">
        <is>
          <t>台北市信義區基隆路一段333號9樓</t>
        </is>
      </c>
      <c r="G441" s="12" t="inlineStr">
        <is>
          <t>台北市信義區基隆路一段333號9樓</t>
        </is>
      </c>
      <c r="H441" s="12" t="inlineStr"/>
      <c r="I441" s="10" t="inlineStr">
        <is>
          <t>110/06/25</t>
        </is>
      </c>
      <c r="J441" s="11" t="inlineStr">
        <is>
          <t>全聯會一字第1100262</t>
        </is>
      </c>
      <c r="K441" s="10" t="inlineStr">
        <is>
          <t>中市</t>
        </is>
      </c>
      <c r="L441" s="10" t="inlineStr">
        <is>
          <t>110/06/25</t>
        </is>
      </c>
      <c r="M441" s="10" t="inlineStr">
        <is>
          <t>1033</t>
        </is>
      </c>
      <c r="N441" s="10" t="inlineStr">
        <is>
          <t>2026-06-05</t>
        </is>
      </c>
      <c r="O441" s="11" t="inlineStr">
        <is>
          <t>https://www.roccpa.org.tw/member_search/more?id=39D77466-2FA5-4DAF-8C75-D65300BFFC82</t>
        </is>
      </c>
    </row>
    <row r="442">
      <c r="A442" s="10" t="n">
        <v>441</v>
      </c>
      <c r="B442" s="11" t="inlineStr">
        <is>
          <t>安永聯合會計師事務所</t>
        </is>
      </c>
      <c r="C442" s="11" t="inlineStr">
        <is>
          <t>EY 安永</t>
        </is>
      </c>
      <c r="D442" s="11" t="inlineStr">
        <is>
          <t>張啓晉</t>
        </is>
      </c>
      <c r="E442" s="10" t="inlineStr">
        <is>
          <t>台北總所</t>
        </is>
      </c>
      <c r="F442" s="12" t="inlineStr">
        <is>
          <t>台北市信義區基隆路一段333號9樓</t>
        </is>
      </c>
      <c r="G442" s="12" t="inlineStr">
        <is>
          <t>台北市信義區基隆路一段333號9樓</t>
        </is>
      </c>
      <c r="H442" s="12" t="inlineStr"/>
      <c r="I442" s="10" t="inlineStr">
        <is>
          <t>115/07/01</t>
        </is>
      </c>
      <c r="J442" s="11" t="inlineStr">
        <is>
          <t>全聯會一字第1150000317號</t>
        </is>
      </c>
      <c r="K442" s="10" t="inlineStr">
        <is>
          <t>北市</t>
        </is>
      </c>
      <c r="L442" s="10" t="inlineStr">
        <is>
          <t>115/07/01</t>
        </is>
      </c>
      <c r="M442" s="10" t="inlineStr">
        <is>
          <t>4908</t>
        </is>
      </c>
      <c r="N442" s="10" t="inlineStr">
        <is>
          <t>2026-07-06</t>
        </is>
      </c>
      <c r="O442" s="11" t="inlineStr">
        <is>
          <t>https://www.roccpa.org.tw/member_search/more?id=b2fe98cd058a450cb1a5544b5ca6abe9</t>
        </is>
      </c>
    </row>
    <row r="443">
      <c r="A443" s="10" t="n">
        <v>442</v>
      </c>
      <c r="B443" s="11" t="inlineStr">
        <is>
          <t>安永聯合會計師事務所</t>
        </is>
      </c>
      <c r="C443" s="11" t="inlineStr">
        <is>
          <t>EY 安永</t>
        </is>
      </c>
      <c r="D443" s="11" t="inlineStr">
        <is>
          <t>張巧穎</t>
        </is>
      </c>
      <c r="E443" s="10" t="inlineStr">
        <is>
          <t>台北總所</t>
        </is>
      </c>
      <c r="F443" s="12" t="inlineStr">
        <is>
          <t>台北市信義區基隆路一段333號9樓</t>
        </is>
      </c>
      <c r="G443" s="12" t="inlineStr">
        <is>
          <t>台北市信義區基隆路一段333號9樓</t>
        </is>
      </c>
      <c r="H443" s="12" t="inlineStr"/>
      <c r="I443" s="10" t="inlineStr">
        <is>
          <t>110/06/25</t>
        </is>
      </c>
      <c r="J443" s="11" t="inlineStr">
        <is>
          <t>全聯會一字第1100261</t>
        </is>
      </c>
      <c r="K443" s="10" t="inlineStr">
        <is>
          <t>北市</t>
        </is>
      </c>
      <c r="L443" s="10" t="inlineStr">
        <is>
          <t>110/06/25</t>
        </is>
      </c>
      <c r="M443" s="10" t="inlineStr">
        <is>
          <t>4354</t>
        </is>
      </c>
      <c r="N443" s="10" t="inlineStr">
        <is>
          <t>2026-06-05</t>
        </is>
      </c>
      <c r="O443" s="11" t="inlineStr">
        <is>
          <t>https://www.roccpa.org.tw/member_search/more?id=262E6C49-4F1D-4500-AA59-BC1E6C5B8C12</t>
        </is>
      </c>
    </row>
    <row r="444">
      <c r="A444" s="10" t="n">
        <v>443</v>
      </c>
      <c r="B444" s="11" t="inlineStr">
        <is>
          <t>安永聯合會計師事務所</t>
        </is>
      </c>
      <c r="C444" s="11" t="inlineStr">
        <is>
          <t>EY 安永</t>
        </is>
      </c>
      <c r="D444" s="11" t="inlineStr">
        <is>
          <t>張志銘</t>
        </is>
      </c>
      <c r="E444" s="10" t="inlineStr">
        <is>
          <t>台北總所</t>
        </is>
      </c>
      <c r="F444" s="12" t="inlineStr">
        <is>
          <t>台北市信義區基隆路一段333號9樓</t>
        </is>
      </c>
      <c r="G444" s="12" t="inlineStr">
        <is>
          <t>台北市信義區基隆路一段333號9樓</t>
        </is>
      </c>
      <c r="H444" s="12" t="inlineStr"/>
      <c r="I444" s="10" t="inlineStr"/>
      <c r="J444" s="11" t="inlineStr"/>
      <c r="K444" s="10" t="inlineStr">
        <is>
          <t>北市</t>
        </is>
      </c>
      <c r="L444" s="10" t="inlineStr">
        <is>
          <t>091/12/16</t>
        </is>
      </c>
      <c r="M444" s="10" t="inlineStr">
        <is>
          <t>2525</t>
        </is>
      </c>
      <c r="N444" s="10" t="inlineStr">
        <is>
          <t>2026-06-05</t>
        </is>
      </c>
      <c r="O444" s="11" t="inlineStr">
        <is>
          <t>https://www.roccpa.org.tw/member_search/more?id=6CB91D23-954D-428B-AA96-CE8D97FEECE8</t>
        </is>
      </c>
    </row>
    <row r="445">
      <c r="A445" s="10" t="n">
        <v>444</v>
      </c>
      <c r="B445" s="11" t="inlineStr">
        <is>
          <t>安永聯合會計師事務所</t>
        </is>
      </c>
      <c r="C445" s="11" t="inlineStr">
        <is>
          <t>EY 安永</t>
        </is>
      </c>
      <c r="D445" s="11" t="inlineStr">
        <is>
          <t>張正道</t>
        </is>
      </c>
      <c r="E445" s="10" t="inlineStr">
        <is>
          <t>台北總所</t>
        </is>
      </c>
      <c r="F445" s="12" t="inlineStr">
        <is>
          <t>台北市信義區基隆路一段333號9樓</t>
        </is>
      </c>
      <c r="G445" s="12" t="inlineStr">
        <is>
          <t>台北市信義區基隆路一段333號9樓</t>
        </is>
      </c>
      <c r="H445" s="12" t="inlineStr"/>
      <c r="I445" s="10" t="inlineStr">
        <is>
          <t>103/05/16</t>
        </is>
      </c>
      <c r="J445" s="11" t="inlineStr">
        <is>
          <t>全聯會一字第1030203</t>
        </is>
      </c>
      <c r="K445" s="10" t="inlineStr">
        <is>
          <t>北市</t>
        </is>
      </c>
      <c r="L445" s="10" t="inlineStr">
        <is>
          <t>103/06/06</t>
        </is>
      </c>
      <c r="M445" s="10" t="inlineStr">
        <is>
          <t>3702</t>
        </is>
      </c>
      <c r="N445" s="10" t="inlineStr">
        <is>
          <t>2026-06-05</t>
        </is>
      </c>
      <c r="O445" s="11" t="inlineStr">
        <is>
          <t>https://www.roccpa.org.tw/member_search/more?id=E81E11FD-6DF8-4D32-89A2-6E4349FE0F34</t>
        </is>
      </c>
    </row>
    <row r="446">
      <c r="A446" s="10" t="n">
        <v>445</v>
      </c>
      <c r="B446" s="11" t="inlineStr">
        <is>
          <t>安永聯合會計師事務所</t>
        </is>
      </c>
      <c r="C446" s="11" t="inlineStr">
        <is>
          <t>EY 安永</t>
        </is>
      </c>
      <c r="D446" s="11" t="inlineStr">
        <is>
          <t>徐榮煌</t>
        </is>
      </c>
      <c r="E446" s="10" t="inlineStr">
        <is>
          <t>台北總所</t>
        </is>
      </c>
      <c r="F446" s="12" t="inlineStr">
        <is>
          <t>台北市信義區基隆路一段333號9樓</t>
        </is>
      </c>
      <c r="G446" s="12" t="inlineStr">
        <is>
          <t>台北市信義區基隆路一段333號9樓</t>
        </is>
      </c>
      <c r="H446" s="12" t="inlineStr"/>
      <c r="I446" s="10" t="inlineStr"/>
      <c r="J446" s="11" t="inlineStr"/>
      <c r="K446" s="10" t="inlineStr">
        <is>
          <t>北市</t>
        </is>
      </c>
      <c r="L446" s="10" t="inlineStr">
        <is>
          <t>088/10/14</t>
        </is>
      </c>
      <c r="M446" s="10" t="inlineStr">
        <is>
          <t>2205</t>
        </is>
      </c>
      <c r="N446" s="10" t="inlineStr">
        <is>
          <t>2026-06-05</t>
        </is>
      </c>
      <c r="O446" s="11" t="inlineStr">
        <is>
          <t>https://www.roccpa.org.tw/member_search/more?id=1E8C6C56-CDA8-4B33-9F40-BF1009B96E2C</t>
        </is>
      </c>
    </row>
    <row r="447">
      <c r="A447" s="10" t="n">
        <v>446</v>
      </c>
      <c r="B447" s="11" t="inlineStr">
        <is>
          <t>安永聯合會計師事務所</t>
        </is>
      </c>
      <c r="C447" s="11" t="inlineStr">
        <is>
          <t>EY 安永</t>
        </is>
      </c>
      <c r="D447" s="11" t="inlineStr">
        <is>
          <t>曾于哲</t>
        </is>
      </c>
      <c r="E447" s="10" t="inlineStr">
        <is>
          <t>台北總所</t>
        </is>
      </c>
      <c r="F447" s="12" t="inlineStr">
        <is>
          <t>台北市信義區基隆路一段333號9樓</t>
        </is>
      </c>
      <c r="G447" s="12" t="inlineStr">
        <is>
          <t>台北市信義區基隆路一段333號9樓</t>
        </is>
      </c>
      <c r="H447" s="12" t="inlineStr"/>
      <c r="I447" s="10" t="inlineStr">
        <is>
          <t>105/09/10</t>
        </is>
      </c>
      <c r="J447" s="11" t="inlineStr">
        <is>
          <t>全聯會一字第1050408</t>
        </is>
      </c>
      <c r="K447" s="10" t="inlineStr">
        <is>
          <t>北市</t>
        </is>
      </c>
      <c r="L447" s="10" t="inlineStr">
        <is>
          <t>105/10/12</t>
        </is>
      </c>
      <c r="M447" s="10" t="inlineStr">
        <is>
          <t>3968</t>
        </is>
      </c>
      <c r="N447" s="10" t="inlineStr">
        <is>
          <t>2026-06-05</t>
        </is>
      </c>
      <c r="O447" s="11" t="inlineStr">
        <is>
          <t>https://www.roccpa.org.tw/member_search/more?id=38E5AC40-C09F-4386-A779-D0BB64F63331</t>
        </is>
      </c>
    </row>
    <row r="448">
      <c r="A448" s="10" t="n">
        <v>447</v>
      </c>
      <c r="B448" s="11" t="inlineStr">
        <is>
          <t>安永聯合會計師事務所</t>
        </is>
      </c>
      <c r="C448" s="11" t="inlineStr">
        <is>
          <t>EY 安永</t>
        </is>
      </c>
      <c r="D448" s="11" t="inlineStr">
        <is>
          <t>李育儒</t>
        </is>
      </c>
      <c r="E448" s="10" t="inlineStr">
        <is>
          <t>台北總所</t>
        </is>
      </c>
      <c r="F448" s="12" t="inlineStr">
        <is>
          <t>台北市信義區基隆路一段333號9樓</t>
        </is>
      </c>
      <c r="G448" s="12" t="inlineStr">
        <is>
          <t>台北市信義區基隆路一段333號9樓</t>
        </is>
      </c>
      <c r="H448" s="12" t="inlineStr"/>
      <c r="I448" s="10" t="inlineStr">
        <is>
          <t>109/10/13</t>
        </is>
      </c>
      <c r="J448" s="11" t="inlineStr">
        <is>
          <t>全聯會一字第1090404</t>
        </is>
      </c>
      <c r="K448" s="10" t="inlineStr">
        <is>
          <t>北市</t>
        </is>
      </c>
      <c r="L448" s="10" t="inlineStr">
        <is>
          <t>109/10/13</t>
        </is>
      </c>
      <c r="M448" s="10" t="inlineStr">
        <is>
          <t>4278</t>
        </is>
      </c>
      <c r="N448" s="10" t="inlineStr">
        <is>
          <t>2026-06-05</t>
        </is>
      </c>
      <c r="O448" s="11" t="inlineStr">
        <is>
          <t>https://www.roccpa.org.tw/member_search/more?id=AC5FBF1E-88B7-4E7A-A0F1-89188D4BB29F</t>
        </is>
      </c>
    </row>
    <row r="449">
      <c r="A449" s="10" t="n">
        <v>448</v>
      </c>
      <c r="B449" s="11" t="inlineStr">
        <is>
          <t>安永聯合會計師事務所</t>
        </is>
      </c>
      <c r="C449" s="11" t="inlineStr">
        <is>
          <t>EY 安永</t>
        </is>
      </c>
      <c r="D449" s="11" t="inlineStr">
        <is>
          <t>林世寰</t>
        </is>
      </c>
      <c r="E449" s="10" t="inlineStr">
        <is>
          <t>台北總所</t>
        </is>
      </c>
      <c r="F449" s="12" t="inlineStr">
        <is>
          <t>台北市信義區基隆路一段333號9樓</t>
        </is>
      </c>
      <c r="G449" s="12" t="inlineStr">
        <is>
          <t>台北市信義區基隆路一段333號9樓</t>
        </is>
      </c>
      <c r="H449" s="12" t="inlineStr"/>
      <c r="I449" s="10" t="inlineStr">
        <is>
          <t>112/06/22</t>
        </is>
      </c>
      <c r="J449" s="11" t="inlineStr">
        <is>
          <t>全聯會一字第1120256</t>
        </is>
      </c>
      <c r="K449" s="10" t="inlineStr">
        <is>
          <t>北市</t>
        </is>
      </c>
      <c r="L449" s="10" t="inlineStr">
        <is>
          <t>112/06/29</t>
        </is>
      </c>
      <c r="M449" s="10" t="inlineStr">
        <is>
          <t>4546</t>
        </is>
      </c>
      <c r="N449" s="10" t="inlineStr">
        <is>
          <t>2026-06-05</t>
        </is>
      </c>
      <c r="O449" s="11" t="inlineStr">
        <is>
          <t>https://www.roccpa.org.tw/member_search/more?id=20C1B710-9337-4FAC-8C1D-253B480CC378</t>
        </is>
      </c>
    </row>
    <row r="450">
      <c r="A450" s="10" t="n">
        <v>449</v>
      </c>
      <c r="B450" s="11" t="inlineStr">
        <is>
          <t>安永聯合會計師事務所</t>
        </is>
      </c>
      <c r="C450" s="11" t="inlineStr">
        <is>
          <t>EY 安永</t>
        </is>
      </c>
      <c r="D450" s="11" t="inlineStr">
        <is>
          <t>林孟賢</t>
        </is>
      </c>
      <c r="E450" s="10" t="inlineStr">
        <is>
          <t>台北總所</t>
        </is>
      </c>
      <c r="F450" s="12" t="inlineStr">
        <is>
          <t>台北市信義區基隆路一段333號9樓</t>
        </is>
      </c>
      <c r="G450" s="12" t="inlineStr">
        <is>
          <t>台北市信義區基隆路一段333號9樓</t>
        </is>
      </c>
      <c r="H450" s="12" t="inlineStr"/>
      <c r="I450" s="10" t="inlineStr">
        <is>
          <t>113/07/15</t>
        </is>
      </c>
      <c r="J450" s="11" t="inlineStr">
        <is>
          <t>全聯會一字第1130000327號</t>
        </is>
      </c>
      <c r="K450" s="10" t="inlineStr">
        <is>
          <t>北市</t>
        </is>
      </c>
      <c r="L450" s="10" t="inlineStr">
        <is>
          <t>113/07/15</t>
        </is>
      </c>
      <c r="M450" s="10" t="inlineStr">
        <is>
          <t>4654</t>
        </is>
      </c>
      <c r="N450" s="10" t="inlineStr">
        <is>
          <t>2026-06-05</t>
        </is>
      </c>
      <c r="O450" s="11" t="inlineStr">
        <is>
          <t>https://www.roccpa.org.tw/member_search/more?id=9253BE37-E344-4F3E-817F-4CDA88599380</t>
        </is>
      </c>
    </row>
    <row r="451">
      <c r="A451" s="10" t="n">
        <v>450</v>
      </c>
      <c r="B451" s="11" t="inlineStr">
        <is>
          <t>安永聯合會計師事務所</t>
        </is>
      </c>
      <c r="C451" s="11" t="inlineStr">
        <is>
          <t>EY 安永</t>
        </is>
      </c>
      <c r="D451" s="11" t="inlineStr">
        <is>
          <t>林宜賢</t>
        </is>
      </c>
      <c r="E451" s="10" t="inlineStr">
        <is>
          <t>台北總所</t>
        </is>
      </c>
      <c r="F451" s="12" t="inlineStr">
        <is>
          <t>台北市信義區基隆路一段333號9樓</t>
        </is>
      </c>
      <c r="G451" s="12" t="inlineStr">
        <is>
          <t>台北市信義區基隆路一段333號9樓</t>
        </is>
      </c>
      <c r="H451" s="12" t="inlineStr"/>
      <c r="I451" s="10" t="inlineStr"/>
      <c r="J451" s="11" t="inlineStr"/>
      <c r="K451" s="10" t="inlineStr">
        <is>
          <t>北市</t>
        </is>
      </c>
      <c r="L451" s="10" t="inlineStr">
        <is>
          <t>090/03/15</t>
        </is>
      </c>
      <c r="M451" s="10" t="inlineStr">
        <is>
          <t>2348</t>
        </is>
      </c>
      <c r="N451" s="10" t="inlineStr">
        <is>
          <t>2026-06-05</t>
        </is>
      </c>
      <c r="O451" s="11" t="inlineStr">
        <is>
          <t>https://www.roccpa.org.tw/member_search/more?id=4A0CF9AA-4A27-4E2A-811D-59A4EBF4D0DF</t>
        </is>
      </c>
    </row>
    <row r="452">
      <c r="A452" s="10" t="n">
        <v>451</v>
      </c>
      <c r="B452" s="11" t="inlineStr">
        <is>
          <t>安永聯合會計師事務所</t>
        </is>
      </c>
      <c r="C452" s="11" t="inlineStr">
        <is>
          <t>EY 安永</t>
        </is>
      </c>
      <c r="D452" s="11" t="inlineStr">
        <is>
          <t>林志仁</t>
        </is>
      </c>
      <c r="E452" s="10" t="inlineStr">
        <is>
          <t>台北總所</t>
        </is>
      </c>
      <c r="F452" s="12" t="inlineStr">
        <is>
          <t>台北市信義區基隆路一段333號9樓</t>
        </is>
      </c>
      <c r="G452" s="12" t="inlineStr">
        <is>
          <t>台北市信義區基隆路一段333號9樓</t>
        </is>
      </c>
      <c r="H452" s="12" t="inlineStr"/>
      <c r="I452" s="10" t="inlineStr">
        <is>
          <t>111/06/20</t>
        </is>
      </c>
      <c r="J452" s="11" t="inlineStr">
        <is>
          <t>全聯會一字第1110234</t>
        </is>
      </c>
      <c r="K452" s="10" t="inlineStr">
        <is>
          <t>北市</t>
        </is>
      </c>
      <c r="L452" s="10" t="inlineStr">
        <is>
          <t>111/06/20</t>
        </is>
      </c>
      <c r="M452" s="10" t="inlineStr">
        <is>
          <t>4441</t>
        </is>
      </c>
      <c r="N452" s="10" t="inlineStr">
        <is>
          <t>2026-06-05</t>
        </is>
      </c>
      <c r="O452" s="11" t="inlineStr">
        <is>
          <t>https://www.roccpa.org.tw/member_search/more?id=FC149136-F393-4AC0-8DDF-9C3806B20A0E</t>
        </is>
      </c>
    </row>
    <row r="453">
      <c r="A453" s="10" t="n">
        <v>452</v>
      </c>
      <c r="B453" s="11" t="inlineStr">
        <is>
          <t>安永聯合會計師事務所</t>
        </is>
      </c>
      <c r="C453" s="11" t="inlineStr">
        <is>
          <t>EY 安永</t>
        </is>
      </c>
      <c r="D453" s="11" t="inlineStr">
        <is>
          <t>林志翔</t>
        </is>
      </c>
      <c r="E453" s="10" t="inlineStr">
        <is>
          <t>台北總所</t>
        </is>
      </c>
      <c r="F453" s="12" t="inlineStr">
        <is>
          <t>台北市信義區基隆路一段333號9樓</t>
        </is>
      </c>
      <c r="G453" s="12" t="inlineStr">
        <is>
          <t>台北市信義區基隆路一段333號9樓</t>
        </is>
      </c>
      <c r="H453" s="12" t="inlineStr"/>
      <c r="I453" s="10" t="inlineStr">
        <is>
          <t>103/05/16</t>
        </is>
      </c>
      <c r="J453" s="11" t="inlineStr">
        <is>
          <t>全聯會一字第1030201</t>
        </is>
      </c>
      <c r="K453" s="10" t="inlineStr">
        <is>
          <t>北市</t>
        </is>
      </c>
      <c r="L453" s="10" t="inlineStr">
        <is>
          <t>103/06/06</t>
        </is>
      </c>
      <c r="M453" s="10" t="inlineStr">
        <is>
          <t>3705</t>
        </is>
      </c>
      <c r="N453" s="10" t="inlineStr">
        <is>
          <t>2026-06-05</t>
        </is>
      </c>
      <c r="O453" s="11" t="inlineStr">
        <is>
          <t>https://www.roccpa.org.tw/member_search/more?id=8328EF3A-AAE7-490E-8625-870D6E74A67D</t>
        </is>
      </c>
    </row>
    <row r="454">
      <c r="A454" s="10" t="n">
        <v>453</v>
      </c>
      <c r="B454" s="11" t="inlineStr">
        <is>
          <t>安永聯合會計師事務所</t>
        </is>
      </c>
      <c r="C454" s="11" t="inlineStr">
        <is>
          <t>EY 安永</t>
        </is>
      </c>
      <c r="D454" s="11" t="inlineStr">
        <is>
          <t>林秀青</t>
        </is>
      </c>
      <c r="E454" s="10" t="inlineStr">
        <is>
          <t>台北總所</t>
        </is>
      </c>
      <c r="F454" s="12" t="inlineStr">
        <is>
          <t>台北市信義區基隆路一段333號9樓</t>
        </is>
      </c>
      <c r="G454" s="12" t="inlineStr">
        <is>
          <t>台北市信義區基隆路一段333號9樓</t>
        </is>
      </c>
      <c r="H454" s="12" t="inlineStr"/>
      <c r="I454" s="10" t="inlineStr">
        <is>
          <t>114/07/01</t>
        </is>
      </c>
      <c r="J454" s="11" t="inlineStr">
        <is>
          <t>全聯會一字第1140000260號</t>
        </is>
      </c>
      <c r="K454" s="10" t="inlineStr">
        <is>
          <t>北市</t>
        </is>
      </c>
      <c r="L454" s="10" t="inlineStr">
        <is>
          <t>114/07/01</t>
        </is>
      </c>
      <c r="M454" s="10" t="inlineStr">
        <is>
          <t>4734</t>
        </is>
      </c>
      <c r="N454" s="10" t="inlineStr">
        <is>
          <t>2026-06-05</t>
        </is>
      </c>
      <c r="O454" s="11" t="inlineStr">
        <is>
          <t>https://www.roccpa.org.tw/member_search/more?id=651C85C1-EFE6-465E-A7D1-C64123A7BFCE</t>
        </is>
      </c>
    </row>
    <row r="455">
      <c r="A455" s="10" t="n">
        <v>454</v>
      </c>
      <c r="B455" s="11" t="inlineStr">
        <is>
          <t>安永聯合會計師事務所</t>
        </is>
      </c>
      <c r="C455" s="11" t="inlineStr">
        <is>
          <t>EY 安永</t>
        </is>
      </c>
      <c r="D455" s="11" t="inlineStr">
        <is>
          <t>林素雯</t>
        </is>
      </c>
      <c r="E455" s="10" t="inlineStr">
        <is>
          <t>台北總所</t>
        </is>
      </c>
      <c r="F455" s="12" t="inlineStr">
        <is>
          <t>台北市信義區基隆路一段333號9樓</t>
        </is>
      </c>
      <c r="G455" s="12" t="inlineStr">
        <is>
          <t>台北市信義區基隆路一段333號9樓</t>
        </is>
      </c>
      <c r="H455" s="12" t="inlineStr"/>
      <c r="I455" s="10" t="inlineStr">
        <is>
          <t>099/12/31</t>
        </is>
      </c>
      <c r="J455" s="11" t="inlineStr">
        <is>
          <t>全聯會一字第09900645</t>
        </is>
      </c>
      <c r="K455" s="10" t="inlineStr">
        <is>
          <t>北市</t>
        </is>
      </c>
      <c r="L455" s="10" t="inlineStr">
        <is>
          <t>100/01/13</t>
        </is>
      </c>
      <c r="M455" s="10" t="inlineStr">
        <is>
          <t>3306</t>
        </is>
      </c>
      <c r="N455" s="10" t="inlineStr">
        <is>
          <t>2026-06-05</t>
        </is>
      </c>
      <c r="O455" s="11" t="inlineStr">
        <is>
          <t>https://www.roccpa.org.tw/member_search/more?id=C5B224F3-CE49-40E3-85BB-50258D495942</t>
        </is>
      </c>
    </row>
    <row r="456">
      <c r="A456" s="10" t="n">
        <v>455</v>
      </c>
      <c r="B456" s="11" t="inlineStr">
        <is>
          <t>安永聯合會計師事務所</t>
        </is>
      </c>
      <c r="C456" s="11" t="inlineStr">
        <is>
          <t>EY 安永</t>
        </is>
      </c>
      <c r="D456" s="11" t="inlineStr">
        <is>
          <t>林鈺芳</t>
        </is>
      </c>
      <c r="E456" s="10" t="inlineStr">
        <is>
          <t>台北總所</t>
        </is>
      </c>
      <c r="F456" s="12" t="inlineStr">
        <is>
          <t>台北市信義區基隆路一段333號9樓</t>
        </is>
      </c>
      <c r="G456" s="12" t="inlineStr">
        <is>
          <t>台北市信義區基隆路一段333號9樓</t>
        </is>
      </c>
      <c r="H456" s="12" t="inlineStr"/>
      <c r="I456" s="10" t="inlineStr">
        <is>
          <t>114/07/01</t>
        </is>
      </c>
      <c r="J456" s="11" t="inlineStr">
        <is>
          <t>全聯會一字第1140000261號</t>
        </is>
      </c>
      <c r="K456" s="10" t="inlineStr">
        <is>
          <t>北市</t>
        </is>
      </c>
      <c r="L456" s="10" t="inlineStr">
        <is>
          <t>114/07/01</t>
        </is>
      </c>
      <c r="M456" s="10" t="inlineStr">
        <is>
          <t>4735</t>
        </is>
      </c>
      <c r="N456" s="10" t="inlineStr">
        <is>
          <t>2026-06-05</t>
        </is>
      </c>
      <c r="O456" s="11" t="inlineStr">
        <is>
          <t>https://www.roccpa.org.tw/member_search/more?id=A30FC7CD-E0EF-421F-BE1B-5F170AF8835D</t>
        </is>
      </c>
    </row>
    <row r="457">
      <c r="A457" s="10" t="n">
        <v>456</v>
      </c>
      <c r="B457" s="11" t="inlineStr">
        <is>
          <t>安永聯合會計師事務所</t>
        </is>
      </c>
      <c r="C457" s="11" t="inlineStr">
        <is>
          <t>EY 安永</t>
        </is>
      </c>
      <c r="D457" s="11" t="inlineStr">
        <is>
          <t>楊弘斌</t>
        </is>
      </c>
      <c r="E457" s="10" t="inlineStr">
        <is>
          <t>台北總所</t>
        </is>
      </c>
      <c r="F457" s="12" t="inlineStr">
        <is>
          <t>台北市信義區基隆路一段333號9樓</t>
        </is>
      </c>
      <c r="G457" s="12" t="inlineStr">
        <is>
          <t>台北市信義區基隆路一段333號9樓</t>
        </is>
      </c>
      <c r="H457" s="12" t="inlineStr"/>
      <c r="I457" s="10" t="inlineStr">
        <is>
          <t>111/06/20</t>
        </is>
      </c>
      <c r="J457" s="11" t="inlineStr">
        <is>
          <t>全聯會一字第1110235</t>
        </is>
      </c>
      <c r="K457" s="10" t="inlineStr">
        <is>
          <t>北市</t>
        </is>
      </c>
      <c r="L457" s="10" t="inlineStr">
        <is>
          <t>111/06/20</t>
        </is>
      </c>
      <c r="M457" s="10" t="inlineStr">
        <is>
          <t>4442</t>
        </is>
      </c>
      <c r="N457" s="10" t="inlineStr">
        <is>
          <t>2026-06-05</t>
        </is>
      </c>
      <c r="O457" s="11" t="inlineStr">
        <is>
          <t>https://www.roccpa.org.tw/member_search/more?id=D7835F4B-583F-4EC5-BE2A-BA2B0C1543DD</t>
        </is>
      </c>
    </row>
    <row r="458">
      <c r="A458" s="10" t="n">
        <v>457</v>
      </c>
      <c r="B458" s="11" t="inlineStr">
        <is>
          <t>安永聯合會計師事務所</t>
        </is>
      </c>
      <c r="C458" s="11" t="inlineStr">
        <is>
          <t>EY 安永</t>
        </is>
      </c>
      <c r="D458" s="11" t="inlineStr">
        <is>
          <t>溫珮絃</t>
        </is>
      </c>
      <c r="E458" s="10" t="inlineStr">
        <is>
          <t>台北總所</t>
        </is>
      </c>
      <c r="F458" s="12" t="inlineStr">
        <is>
          <t>台北市信義區基隆路一段333號9樓</t>
        </is>
      </c>
      <c r="G458" s="12" t="inlineStr">
        <is>
          <t>台北市信義區基隆路一段333號9樓</t>
        </is>
      </c>
      <c r="H458" s="12" t="inlineStr"/>
      <c r="I458" s="10" t="inlineStr">
        <is>
          <t>113/07/15</t>
        </is>
      </c>
      <c r="J458" s="11" t="inlineStr">
        <is>
          <t>全聯會一字第1130000328號</t>
        </is>
      </c>
      <c r="K458" s="10" t="inlineStr">
        <is>
          <t>北市</t>
        </is>
      </c>
      <c r="L458" s="10" t="inlineStr">
        <is>
          <t>113/07/15</t>
        </is>
      </c>
      <c r="M458" s="10" t="inlineStr">
        <is>
          <t>4655</t>
        </is>
      </c>
      <c r="N458" s="10" t="inlineStr">
        <is>
          <t>2026-06-05</t>
        </is>
      </c>
      <c r="O458" s="11" t="inlineStr">
        <is>
          <t>https://www.roccpa.org.tw/member_search/more?id=EAC03D03-D2E1-43BD-B153-874CD61392D7</t>
        </is>
      </c>
    </row>
    <row r="459">
      <c r="A459" s="10" t="n">
        <v>458</v>
      </c>
      <c r="B459" s="11" t="inlineStr">
        <is>
          <t>安永聯合會計師事務所</t>
        </is>
      </c>
      <c r="C459" s="11" t="inlineStr">
        <is>
          <t>EY 安永</t>
        </is>
      </c>
      <c r="D459" s="11" t="inlineStr">
        <is>
          <t>王彥鈞</t>
        </is>
      </c>
      <c r="E459" s="10" t="inlineStr">
        <is>
          <t>台北總所</t>
        </is>
      </c>
      <c r="F459" s="12" t="inlineStr">
        <is>
          <t>台北市信義區基隆路一段333號9樓</t>
        </is>
      </c>
      <c r="G459" s="12" t="inlineStr">
        <is>
          <t>台北市信義區基隆路一段333號9樓</t>
        </is>
      </c>
      <c r="H459" s="12" t="inlineStr"/>
      <c r="I459" s="10" t="inlineStr"/>
      <c r="J459" s="11" t="inlineStr"/>
      <c r="K459" s="10" t="inlineStr">
        <is>
          <t>北市</t>
        </is>
      </c>
      <c r="L459" s="10" t="inlineStr">
        <is>
          <t>091/11/27</t>
        </is>
      </c>
      <c r="M459" s="10" t="inlineStr">
        <is>
          <t>2508</t>
        </is>
      </c>
      <c r="N459" s="10" t="inlineStr">
        <is>
          <t>2026-06-05</t>
        </is>
      </c>
      <c r="O459" s="11" t="inlineStr">
        <is>
          <t>https://www.roccpa.org.tw/member_search/more?id=424B077C-8C90-48BD-817A-1BA0D1EA4376</t>
        </is>
      </c>
    </row>
    <row r="460">
      <c r="A460" s="10" t="n">
        <v>459</v>
      </c>
      <c r="B460" s="11" t="inlineStr">
        <is>
          <t>安永聯合會計師事務所</t>
        </is>
      </c>
      <c r="C460" s="11" t="inlineStr">
        <is>
          <t>EY 安永</t>
        </is>
      </c>
      <c r="D460" s="11" t="inlineStr">
        <is>
          <t>王慕凡</t>
        </is>
      </c>
      <c r="E460" s="10" t="inlineStr">
        <is>
          <t>台北總所</t>
        </is>
      </c>
      <c r="F460" s="12" t="inlineStr">
        <is>
          <t>台北市信義區基隆路一段333號9樓</t>
        </is>
      </c>
      <c r="G460" s="12" t="inlineStr">
        <is>
          <t>台北市信義區基隆路一段333號9樓</t>
        </is>
      </c>
      <c r="H460" s="12" t="inlineStr"/>
      <c r="I460" s="10" t="inlineStr">
        <is>
          <t>101/11/08</t>
        </is>
      </c>
      <c r="J460" s="11" t="inlineStr">
        <is>
          <t>全聯會一字第1010402</t>
        </is>
      </c>
      <c r="K460" s="10" t="inlineStr">
        <is>
          <t>北市</t>
        </is>
      </c>
      <c r="L460" s="10" t="inlineStr">
        <is>
          <t>113/01/05</t>
        </is>
      </c>
      <c r="M460" s="10" t="inlineStr">
        <is>
          <t>4586</t>
        </is>
      </c>
      <c r="N460" s="10" t="inlineStr">
        <is>
          <t>2026-06-05</t>
        </is>
      </c>
      <c r="O460" s="11" t="inlineStr">
        <is>
          <t>https://www.roccpa.org.tw/member_search/more?id=B14EC97F-D414-4092-B045-FF107AA1A6F1</t>
        </is>
      </c>
    </row>
    <row r="461">
      <c r="A461" s="10" t="n">
        <v>460</v>
      </c>
      <c r="B461" s="11" t="inlineStr">
        <is>
          <t>安永聯合會計師事務所</t>
        </is>
      </c>
      <c r="C461" s="11" t="inlineStr">
        <is>
          <t>EY 安永</t>
        </is>
      </c>
      <c r="D461" s="11" t="inlineStr">
        <is>
          <t>王瑄瑄</t>
        </is>
      </c>
      <c r="E461" s="10" t="inlineStr">
        <is>
          <t>台北總所</t>
        </is>
      </c>
      <c r="F461" s="12" t="inlineStr">
        <is>
          <t>台北市信義區基隆路一段333號9樓</t>
        </is>
      </c>
      <c r="G461" s="12" t="inlineStr">
        <is>
          <t>台北市信義區基隆路一段333號9樓</t>
        </is>
      </c>
      <c r="H461" s="12" t="inlineStr"/>
      <c r="I461" s="10" t="inlineStr">
        <is>
          <t>105/08/17</t>
        </is>
      </c>
      <c r="J461" s="11" t="inlineStr">
        <is>
          <t>全聯會一字第1050361</t>
        </is>
      </c>
      <c r="K461" s="10" t="inlineStr">
        <is>
          <t>北市</t>
        </is>
      </c>
      <c r="L461" s="10" t="inlineStr">
        <is>
          <t>105/10/12</t>
        </is>
      </c>
      <c r="M461" s="10" t="inlineStr">
        <is>
          <t>3965</t>
        </is>
      </c>
      <c r="N461" s="10" t="inlineStr">
        <is>
          <t>2026-06-05</t>
        </is>
      </c>
      <c r="O461" s="11" t="inlineStr">
        <is>
          <t>https://www.roccpa.org.tw/member_search/more?id=DA4D0199-B910-4603-B86F-91699DC5BE2A</t>
        </is>
      </c>
    </row>
    <row r="462">
      <c r="A462" s="10" t="n">
        <v>461</v>
      </c>
      <c r="B462" s="11" t="inlineStr">
        <is>
          <t>安永聯合會計師事務所</t>
        </is>
      </c>
      <c r="C462" s="11" t="inlineStr">
        <is>
          <t>EY 安永</t>
        </is>
      </c>
      <c r="D462" s="11" t="inlineStr">
        <is>
          <t>王甯寬</t>
        </is>
      </c>
      <c r="E462" s="10" t="inlineStr">
        <is>
          <t>台北總所</t>
        </is>
      </c>
      <c r="F462" s="12" t="inlineStr">
        <is>
          <t>台北市信義區基隆路一段333號9樓</t>
        </is>
      </c>
      <c r="G462" s="12" t="inlineStr">
        <is>
          <t>台北市信義區基隆路一段333號9樓</t>
        </is>
      </c>
      <c r="H462" s="12" t="inlineStr"/>
      <c r="I462" s="10" t="inlineStr">
        <is>
          <t>114/07/01</t>
        </is>
      </c>
      <c r="J462" s="11" t="inlineStr">
        <is>
          <t>全聯會一字第1140000259號</t>
        </is>
      </c>
      <c r="K462" s="10" t="inlineStr">
        <is>
          <t>北市</t>
        </is>
      </c>
      <c r="L462" s="10" t="inlineStr">
        <is>
          <t>114/07/01</t>
        </is>
      </c>
      <c r="M462" s="10" t="inlineStr">
        <is>
          <t>4733</t>
        </is>
      </c>
      <c r="N462" s="10" t="inlineStr">
        <is>
          <t>2026-06-05</t>
        </is>
      </c>
      <c r="O462" s="11" t="inlineStr">
        <is>
          <t>https://www.roccpa.org.tw/member_search/more?id=27C067B7-7EBA-499B-89DC-48EA38B0C431</t>
        </is>
      </c>
    </row>
    <row r="463">
      <c r="A463" s="10" t="n">
        <v>462</v>
      </c>
      <c r="B463" s="11" t="inlineStr">
        <is>
          <t>安永聯合會計師事務所</t>
        </is>
      </c>
      <c r="C463" s="11" t="inlineStr">
        <is>
          <t>EY 安永</t>
        </is>
      </c>
      <c r="D463" s="11" t="inlineStr">
        <is>
          <t>葉柏良</t>
        </is>
      </c>
      <c r="E463" s="10" t="inlineStr">
        <is>
          <t>台北總所</t>
        </is>
      </c>
      <c r="F463" s="12" t="inlineStr">
        <is>
          <t>台北市信義區基隆路一段333號9樓</t>
        </is>
      </c>
      <c r="G463" s="12" t="inlineStr">
        <is>
          <t>台北市信義區基隆路一段333號9樓</t>
        </is>
      </c>
      <c r="H463" s="12" t="inlineStr"/>
      <c r="I463" s="10" t="inlineStr">
        <is>
          <t>113/07/15</t>
        </is>
      </c>
      <c r="J463" s="11" t="inlineStr">
        <is>
          <t>全聯會一字第1130000329號</t>
        </is>
      </c>
      <c r="K463" s="10" t="inlineStr">
        <is>
          <t>北市</t>
        </is>
      </c>
      <c r="L463" s="10" t="inlineStr">
        <is>
          <t>113/07/15</t>
        </is>
      </c>
      <c r="M463" s="10" t="inlineStr">
        <is>
          <t>4656</t>
        </is>
      </c>
      <c r="N463" s="10" t="inlineStr">
        <is>
          <t>2026-06-05</t>
        </is>
      </c>
      <c r="O463" s="11" t="inlineStr">
        <is>
          <t>https://www.roccpa.org.tw/member_search/more?id=7961944C-E8DF-48AF-A3AB-DC5DBECC7DF7</t>
        </is>
      </c>
    </row>
    <row r="464">
      <c r="A464" s="10" t="n">
        <v>463</v>
      </c>
      <c r="B464" s="11" t="inlineStr">
        <is>
          <t>安永聯合會計師事務所</t>
        </is>
      </c>
      <c r="C464" s="11" t="inlineStr">
        <is>
          <t>EY 安永</t>
        </is>
      </c>
      <c r="D464" s="11" t="inlineStr">
        <is>
          <t>蔡雅萍</t>
        </is>
      </c>
      <c r="E464" s="10" t="inlineStr">
        <is>
          <t>台北總所</t>
        </is>
      </c>
      <c r="F464" s="12" t="inlineStr">
        <is>
          <t>台北市信義區基隆路一段333號9樓</t>
        </is>
      </c>
      <c r="G464" s="12" t="inlineStr">
        <is>
          <t>台北市信義區基隆路一段333號9樓</t>
        </is>
      </c>
      <c r="H464" s="12" t="inlineStr"/>
      <c r="I464" s="10" t="inlineStr">
        <is>
          <t>103/05/16</t>
        </is>
      </c>
      <c r="J464" s="11" t="inlineStr">
        <is>
          <t>全聯會一字第1030199</t>
        </is>
      </c>
      <c r="K464" s="10" t="inlineStr">
        <is>
          <t>北市</t>
        </is>
      </c>
      <c r="L464" s="10" t="inlineStr">
        <is>
          <t>103/06/06</t>
        </is>
      </c>
      <c r="M464" s="10" t="inlineStr">
        <is>
          <t>3706</t>
        </is>
      </c>
      <c r="N464" s="10" t="inlineStr">
        <is>
          <t>2026-06-05</t>
        </is>
      </c>
      <c r="O464" s="11" t="inlineStr">
        <is>
          <t>https://www.roccpa.org.tw/member_search/more?id=00A112ED-121D-4894-A56C-E7CD88466C25</t>
        </is>
      </c>
    </row>
    <row r="465">
      <c r="A465" s="10" t="n">
        <v>464</v>
      </c>
      <c r="B465" s="11" t="inlineStr">
        <is>
          <t>安永聯合會計師事務所</t>
        </is>
      </c>
      <c r="C465" s="11" t="inlineStr">
        <is>
          <t>EY 安永</t>
        </is>
      </c>
      <c r="D465" s="11" t="inlineStr">
        <is>
          <t>許廷安</t>
        </is>
      </c>
      <c r="E465" s="10" t="inlineStr">
        <is>
          <t>台北總所</t>
        </is>
      </c>
      <c r="F465" s="12" t="inlineStr">
        <is>
          <t>台北市信義區基隆路一段333號9樓</t>
        </is>
      </c>
      <c r="G465" s="12" t="inlineStr">
        <is>
          <t>台北市信義區基隆路一段333號9樓</t>
        </is>
      </c>
      <c r="H465" s="12" t="inlineStr"/>
      <c r="I465" s="10" t="inlineStr">
        <is>
          <t>111/06/20</t>
        </is>
      </c>
      <c r="J465" s="11" t="inlineStr">
        <is>
          <t>全聯會一字第1110233</t>
        </is>
      </c>
      <c r="K465" s="10" t="inlineStr">
        <is>
          <t>北市</t>
        </is>
      </c>
      <c r="L465" s="10" t="inlineStr">
        <is>
          <t>111/06/20</t>
        </is>
      </c>
      <c r="M465" s="10" t="inlineStr">
        <is>
          <t>4440</t>
        </is>
      </c>
      <c r="N465" s="10" t="inlineStr">
        <is>
          <t>2026-06-05</t>
        </is>
      </c>
      <c r="O465" s="11" t="inlineStr">
        <is>
          <t>https://www.roccpa.org.tw/member_search/more?id=C75F0E87-8C11-48DA-8ECF-145C35BF54CD</t>
        </is>
      </c>
    </row>
    <row r="466">
      <c r="A466" s="10" t="n">
        <v>465</v>
      </c>
      <c r="B466" s="11" t="inlineStr">
        <is>
          <t>安永聯合會計師事務所</t>
        </is>
      </c>
      <c r="C466" s="11" t="inlineStr">
        <is>
          <t>EY 安永</t>
        </is>
      </c>
      <c r="D466" s="11" t="inlineStr">
        <is>
          <t>許新民</t>
        </is>
      </c>
      <c r="E466" s="10" t="inlineStr">
        <is>
          <t>台北總所</t>
        </is>
      </c>
      <c r="F466" s="12" t="inlineStr">
        <is>
          <t>台北市信義區基隆路一段333號9樓</t>
        </is>
      </c>
      <c r="G466" s="12" t="inlineStr">
        <is>
          <t>台北市信義區基隆路一段333號9樓</t>
        </is>
      </c>
      <c r="H466" s="12" t="inlineStr"/>
      <c r="I466" s="10" t="inlineStr"/>
      <c r="J466" s="11" t="inlineStr"/>
      <c r="K466" s="10" t="inlineStr">
        <is>
          <t>北市</t>
        </is>
      </c>
      <c r="L466" s="10" t="inlineStr">
        <is>
          <t>085/12/04</t>
        </is>
      </c>
      <c r="M466" s="10" t="inlineStr">
        <is>
          <t>1867</t>
        </is>
      </c>
      <c r="N466" s="10" t="inlineStr">
        <is>
          <t>2026-06-05</t>
        </is>
      </c>
      <c r="O466" s="11" t="inlineStr">
        <is>
          <t>https://www.roccpa.org.tw/member_search/more?id=9ABDFCED-FC8A-4354-BC64-E1A91D2E32A7</t>
        </is>
      </c>
    </row>
    <row r="467">
      <c r="A467" s="10" t="n">
        <v>466</v>
      </c>
      <c r="B467" s="11" t="inlineStr">
        <is>
          <t>安永聯合會計師事務所</t>
        </is>
      </c>
      <c r="C467" s="11" t="inlineStr">
        <is>
          <t>EY 安永</t>
        </is>
      </c>
      <c r="D467" s="11" t="inlineStr">
        <is>
          <t>謝勝安</t>
        </is>
      </c>
      <c r="E467" s="10" t="inlineStr">
        <is>
          <t>台北總所</t>
        </is>
      </c>
      <c r="F467" s="12" t="inlineStr">
        <is>
          <t>台北市信義區基隆路一段333號9樓</t>
        </is>
      </c>
      <c r="G467" s="12" t="inlineStr">
        <is>
          <t>台北市信義區基隆路一段333號9樓</t>
        </is>
      </c>
      <c r="H467" s="12" t="inlineStr"/>
      <c r="I467" s="10" t="inlineStr">
        <is>
          <t>105/08/17</t>
        </is>
      </c>
      <c r="J467" s="11" t="inlineStr">
        <is>
          <t>全聯會一字第1050362</t>
        </is>
      </c>
      <c r="K467" s="10" t="inlineStr">
        <is>
          <t>北市</t>
        </is>
      </c>
      <c r="L467" s="10" t="inlineStr">
        <is>
          <t>105/10/12</t>
        </is>
      </c>
      <c r="M467" s="10" t="inlineStr">
        <is>
          <t>3966</t>
        </is>
      </c>
      <c r="N467" s="10" t="inlineStr">
        <is>
          <t>2026-06-05</t>
        </is>
      </c>
      <c r="O467" s="11" t="inlineStr">
        <is>
          <t>https://www.roccpa.org.tw/member_search/more?id=875A59F4-8934-49B7-B88E-F70BC98545FD</t>
        </is>
      </c>
    </row>
    <row r="468">
      <c r="A468" s="10" t="n">
        <v>467</v>
      </c>
      <c r="B468" s="11" t="inlineStr">
        <is>
          <t>安永聯合會計師事務所</t>
        </is>
      </c>
      <c r="C468" s="11" t="inlineStr">
        <is>
          <t>EY 安永</t>
        </is>
      </c>
      <c r="D468" s="11" t="inlineStr">
        <is>
          <t>郭紹彬</t>
        </is>
      </c>
      <c r="E468" s="10" t="inlineStr">
        <is>
          <t>台北總所</t>
        </is>
      </c>
      <c r="F468" s="12" t="inlineStr">
        <is>
          <t>台北市信義區基隆路一段333號9樓</t>
        </is>
      </c>
      <c r="G468" s="12" t="inlineStr">
        <is>
          <t>台北市信義區基隆路一段333號9樓</t>
        </is>
      </c>
      <c r="H468" s="12" t="inlineStr"/>
      <c r="I468" s="10" t="inlineStr"/>
      <c r="J468" s="11" t="inlineStr"/>
      <c r="K468" s="10" t="inlineStr">
        <is>
          <t>北市</t>
        </is>
      </c>
      <c r="L468" s="10" t="inlineStr">
        <is>
          <t>091/10/01</t>
        </is>
      </c>
      <c r="M468" s="10" t="inlineStr">
        <is>
          <t>2489</t>
        </is>
      </c>
      <c r="N468" s="10" t="inlineStr">
        <is>
          <t>2026-06-05</t>
        </is>
      </c>
      <c r="O468" s="11" t="inlineStr">
        <is>
          <t>https://www.roccpa.org.tw/member_search/more?id=D2935B19-212E-48B8-93AA-144265180884</t>
        </is>
      </c>
    </row>
    <row r="469">
      <c r="A469" s="10" t="n">
        <v>468</v>
      </c>
      <c r="B469" s="11" t="inlineStr">
        <is>
          <t>安永聯合會計師事務所</t>
        </is>
      </c>
      <c r="C469" s="11" t="inlineStr">
        <is>
          <t>EY 安永</t>
        </is>
      </c>
      <c r="D469" s="11" t="inlineStr">
        <is>
          <t>陳人理</t>
        </is>
      </c>
      <c r="E469" s="10" t="inlineStr">
        <is>
          <t>台北總所</t>
        </is>
      </c>
      <c r="F469" s="12" t="inlineStr">
        <is>
          <t>台北市信義區基隆路一段333號9樓</t>
        </is>
      </c>
      <c r="G469" s="12" t="inlineStr">
        <is>
          <t>台北市信義區基隆路一段333號9樓</t>
        </is>
      </c>
      <c r="H469" s="12" t="inlineStr"/>
      <c r="I469" s="10" t="inlineStr">
        <is>
          <t>115/07/01</t>
        </is>
      </c>
      <c r="J469" s="11" t="inlineStr">
        <is>
          <t>全聯會一字第1150000318號</t>
        </is>
      </c>
      <c r="K469" s="10" t="inlineStr">
        <is>
          <t>北市</t>
        </is>
      </c>
      <c r="L469" s="10" t="inlineStr">
        <is>
          <t>115/07/01</t>
        </is>
      </c>
      <c r="M469" s="10" t="inlineStr">
        <is>
          <t>4909</t>
        </is>
      </c>
      <c r="N469" s="10" t="inlineStr">
        <is>
          <t>2026-07-06</t>
        </is>
      </c>
      <c r="O469" s="11" t="inlineStr">
        <is>
          <t>https://www.roccpa.org.tw/member_search/more?id=1b4536c62ba64e80b04d5ef31cf95423</t>
        </is>
      </c>
    </row>
    <row r="470">
      <c r="A470" s="10" t="n">
        <v>469</v>
      </c>
      <c r="B470" s="11" t="inlineStr">
        <is>
          <t>安永聯合會計師事務所</t>
        </is>
      </c>
      <c r="C470" s="11" t="inlineStr">
        <is>
          <t>EY 安永</t>
        </is>
      </c>
      <c r="D470" s="11" t="inlineStr">
        <is>
          <t>陳人理</t>
        </is>
      </c>
      <c r="E470" s="10" t="inlineStr">
        <is>
          <t>台北總所</t>
        </is>
      </c>
      <c r="F470" s="12" t="inlineStr">
        <is>
          <t>台北市信義區基隆路一段333號9樓</t>
        </is>
      </c>
      <c r="G470" s="12" t="inlineStr">
        <is>
          <t>台北市信義區基隆路一段333號9樓</t>
        </is>
      </c>
      <c r="H470" s="12" t="inlineStr"/>
      <c r="I470" s="10" t="inlineStr">
        <is>
          <t>115/07/01</t>
        </is>
      </c>
      <c r="J470" s="11" t="inlineStr">
        <is>
          <t>全聯會一字第1150000315號</t>
        </is>
      </c>
      <c r="K470" s="10" t="inlineStr">
        <is>
          <t>省</t>
        </is>
      </c>
      <c r="L470" s="10" t="inlineStr">
        <is>
          <t>115/07/01</t>
        </is>
      </c>
      <c r="M470" s="10" t="inlineStr">
        <is>
          <t>4906</t>
        </is>
      </c>
      <c r="N470" s="10" t="inlineStr">
        <is>
          <t>2026-07-06</t>
        </is>
      </c>
      <c r="O470" s="11" t="inlineStr">
        <is>
          <t>https://www.roccpa.org.tw/member_search/more?id=4ebbf9b486b24e9a86d5d974059b153c</t>
        </is>
      </c>
    </row>
    <row r="471">
      <c r="A471" s="10" t="n">
        <v>470</v>
      </c>
      <c r="B471" s="11" t="inlineStr">
        <is>
          <t>安永聯合會計師事務所</t>
        </is>
      </c>
      <c r="C471" s="11" t="inlineStr">
        <is>
          <t>EY 安永</t>
        </is>
      </c>
      <c r="D471" s="11" t="inlineStr">
        <is>
          <t>陳智忠</t>
        </is>
      </c>
      <c r="E471" s="10" t="inlineStr">
        <is>
          <t>台北總所</t>
        </is>
      </c>
      <c r="F471" s="12" t="inlineStr">
        <is>
          <t>台北市信義區基隆路一段333號9樓</t>
        </is>
      </c>
      <c r="G471" s="12" t="inlineStr">
        <is>
          <t>台北市信義區基隆路一段333號9樓</t>
        </is>
      </c>
      <c r="H471" s="12" t="inlineStr"/>
      <c r="I471" s="10" t="inlineStr">
        <is>
          <t>104/07/09</t>
        </is>
      </c>
      <c r="J471" s="11" t="inlineStr">
        <is>
          <t>全聯會一字第1040223</t>
        </is>
      </c>
      <c r="K471" s="10" t="inlineStr">
        <is>
          <t>北市</t>
        </is>
      </c>
      <c r="L471" s="10" t="inlineStr">
        <is>
          <t>104/07/23</t>
        </is>
      </c>
      <c r="M471" s="10" t="inlineStr">
        <is>
          <t>3849</t>
        </is>
      </c>
      <c r="N471" s="10" t="inlineStr">
        <is>
          <t>2026-06-05</t>
        </is>
      </c>
      <c r="O471" s="11" t="inlineStr">
        <is>
          <t>https://www.roccpa.org.tw/member_search/more?id=8CB6A26F-A861-46B3-ACE5-584197074C1F</t>
        </is>
      </c>
    </row>
    <row r="472">
      <c r="A472" s="10" t="n">
        <v>471</v>
      </c>
      <c r="B472" s="11" t="inlineStr">
        <is>
          <t>安永聯合會計師事務所</t>
        </is>
      </c>
      <c r="C472" s="11" t="inlineStr">
        <is>
          <t>EY 安永</t>
        </is>
      </c>
      <c r="D472" s="11" t="inlineStr">
        <is>
          <t>陳樺</t>
        </is>
      </c>
      <c r="E472" s="10" t="inlineStr">
        <is>
          <t>台北總所</t>
        </is>
      </c>
      <c r="F472" s="12" t="inlineStr">
        <is>
          <t>台北市信義區基隆路一段333號9樓</t>
        </is>
      </c>
      <c r="G472" s="12" t="inlineStr">
        <is>
          <t>台北市信義區基隆路一段333號9樓</t>
        </is>
      </c>
      <c r="H472" s="12" t="inlineStr"/>
      <c r="I472" s="10" t="inlineStr">
        <is>
          <t>115/07/01</t>
        </is>
      </c>
      <c r="J472" s="11" t="inlineStr">
        <is>
          <t>全聯會一字第1150000318號</t>
        </is>
      </c>
      <c r="K472" s="10" t="inlineStr">
        <is>
          <t>北市</t>
        </is>
      </c>
      <c r="L472" s="10" t="inlineStr">
        <is>
          <t>115/07/01</t>
        </is>
      </c>
      <c r="M472" s="10" t="inlineStr">
        <is>
          <t>4909</t>
        </is>
      </c>
      <c r="N472" s="10" t="inlineStr">
        <is>
          <t>2026-07-06</t>
        </is>
      </c>
      <c r="O472" s="11" t="inlineStr">
        <is>
          <t>https://www.roccpa.org.tw/member_search/more?id=5f1cfd9572f3432eb72c822f0dcf9cda</t>
        </is>
      </c>
    </row>
    <row r="473">
      <c r="A473" s="10" t="n">
        <v>472</v>
      </c>
      <c r="B473" s="11" t="inlineStr">
        <is>
          <t>安永聯合會計師事務所</t>
        </is>
      </c>
      <c r="C473" s="11" t="inlineStr">
        <is>
          <t>EY 安永</t>
        </is>
      </c>
      <c r="D473" s="11" t="inlineStr">
        <is>
          <t>陶旭珉</t>
        </is>
      </c>
      <c r="E473" s="10" t="inlineStr">
        <is>
          <t>台北總所</t>
        </is>
      </c>
      <c r="F473" s="12" t="inlineStr">
        <is>
          <t>台北市信義區基隆路一段333號9樓</t>
        </is>
      </c>
      <c r="G473" s="12" t="inlineStr">
        <is>
          <t>台北市信義區基隆路一段333號9樓</t>
        </is>
      </c>
      <c r="H473" s="12" t="inlineStr"/>
      <c r="I473" s="10" t="inlineStr">
        <is>
          <t>115/07/01</t>
        </is>
      </c>
      <c r="J473" s="11" t="inlineStr">
        <is>
          <t>全聯會一字第1150000319號</t>
        </is>
      </c>
      <c r="K473" s="10" t="inlineStr">
        <is>
          <t>北市</t>
        </is>
      </c>
      <c r="L473" s="10" t="inlineStr">
        <is>
          <t>115/07/01</t>
        </is>
      </c>
      <c r="M473" s="10" t="inlineStr">
        <is>
          <t>4910</t>
        </is>
      </c>
      <c r="N473" s="10" t="inlineStr">
        <is>
          <t>2026-07-06</t>
        </is>
      </c>
      <c r="O473" s="11" t="inlineStr">
        <is>
          <t>https://www.roccpa.org.tw/member_search/more?id=682cc17985154894b2ef783269a1acc3</t>
        </is>
      </c>
    </row>
    <row r="474">
      <c r="A474" s="10" t="n">
        <v>473</v>
      </c>
      <c r="B474" s="11" t="inlineStr">
        <is>
          <t>安永聯合會計師事務所</t>
        </is>
      </c>
      <c r="C474" s="11" t="inlineStr">
        <is>
          <t>EY 安永</t>
        </is>
      </c>
      <c r="D474" s="11" t="inlineStr">
        <is>
          <t>馬君廷</t>
        </is>
      </c>
      <c r="E474" s="10" t="inlineStr">
        <is>
          <t>台北總所</t>
        </is>
      </c>
      <c r="F474" s="12" t="inlineStr">
        <is>
          <t>台北市信義區基隆路一段333號9樓</t>
        </is>
      </c>
      <c r="G474" s="12" t="inlineStr">
        <is>
          <t>台北市信義區基隆路一段333號9樓</t>
        </is>
      </c>
      <c r="H474" s="12" t="inlineStr"/>
      <c r="I474" s="10" t="inlineStr">
        <is>
          <t>106/06/20</t>
        </is>
      </c>
      <c r="J474" s="11" t="inlineStr">
        <is>
          <t>全聯會一字第1060220</t>
        </is>
      </c>
      <c r="K474" s="10" t="inlineStr">
        <is>
          <t>北市</t>
        </is>
      </c>
      <c r="L474" s="10" t="inlineStr">
        <is>
          <t>106/07/06</t>
        </is>
      </c>
      <c r="M474" s="10" t="inlineStr">
        <is>
          <t>4025</t>
        </is>
      </c>
      <c r="N474" s="10" t="inlineStr">
        <is>
          <t>2026-06-05</t>
        </is>
      </c>
      <c r="O474" s="11" t="inlineStr">
        <is>
          <t>https://www.roccpa.org.tw/member_search/more?id=BC299E2F-CB9E-4087-BEB4-0582A19A811F</t>
        </is>
      </c>
    </row>
    <row r="475">
      <c r="A475" s="10" t="n">
        <v>474</v>
      </c>
      <c r="B475" s="11" t="inlineStr">
        <is>
          <t>安永聯合會計師事務所</t>
        </is>
      </c>
      <c r="C475" s="11" t="inlineStr">
        <is>
          <t>EY 安永</t>
        </is>
      </c>
      <c r="D475" s="11" t="inlineStr">
        <is>
          <t>馮葦祺</t>
        </is>
      </c>
      <c r="E475" s="10" t="inlineStr">
        <is>
          <t>台北總所</t>
        </is>
      </c>
      <c r="F475" s="12" t="inlineStr">
        <is>
          <t>台北市信義區基隆路一段333號9樓</t>
        </is>
      </c>
      <c r="G475" s="12" t="inlineStr">
        <is>
          <t>台北市信義區基隆路一段333號9樓</t>
        </is>
      </c>
      <c r="H475" s="12" t="inlineStr"/>
      <c r="I475" s="10" t="inlineStr">
        <is>
          <t>115/07/01</t>
        </is>
      </c>
      <c r="J475" s="11" t="inlineStr">
        <is>
          <t>全聯會一字第1150000316號</t>
        </is>
      </c>
      <c r="K475" s="10" t="inlineStr">
        <is>
          <t>北市</t>
        </is>
      </c>
      <c r="L475" s="10" t="inlineStr">
        <is>
          <t>115/07/01</t>
        </is>
      </c>
      <c r="M475" s="10" t="inlineStr">
        <is>
          <t>4907</t>
        </is>
      </c>
      <c r="N475" s="10" t="inlineStr">
        <is>
          <t>2026-07-06</t>
        </is>
      </c>
      <c r="O475" s="11" t="inlineStr">
        <is>
          <t>https://www.roccpa.org.tw/member_search/more?id=43add1c0f10e41bfa0689a77c6530368</t>
        </is>
      </c>
    </row>
    <row r="476">
      <c r="A476" s="10" t="n">
        <v>475</v>
      </c>
      <c r="B476" s="11" t="inlineStr">
        <is>
          <t>安永聯合會計師事務所</t>
        </is>
      </c>
      <c r="C476" s="11" t="inlineStr">
        <is>
          <t>EY 安永</t>
        </is>
      </c>
      <c r="D476" s="11" t="inlineStr">
        <is>
          <t>黃建澤</t>
        </is>
      </c>
      <c r="E476" s="10" t="inlineStr">
        <is>
          <t>台北總所</t>
        </is>
      </c>
      <c r="F476" s="12" t="inlineStr">
        <is>
          <t>台北市信義區基隆路一段333號9樓</t>
        </is>
      </c>
      <c r="G476" s="12" t="inlineStr">
        <is>
          <t>台北市信義區基隆路一段333號9樓</t>
        </is>
      </c>
      <c r="H476" s="12" t="inlineStr"/>
      <c r="I476" s="10" t="inlineStr"/>
      <c r="J476" s="11" t="inlineStr"/>
      <c r="K476" s="10" t="inlineStr">
        <is>
          <t>北市</t>
        </is>
      </c>
      <c r="L476" s="10" t="inlineStr">
        <is>
          <t>096/04/09</t>
        </is>
      </c>
      <c r="M476" s="10" t="inlineStr">
        <is>
          <t>2922</t>
        </is>
      </c>
      <c r="N476" s="10" t="inlineStr">
        <is>
          <t>2026-06-05</t>
        </is>
      </c>
      <c r="O476" s="11" t="inlineStr">
        <is>
          <t>https://www.roccpa.org.tw/member_search/more?id=D452B1C3-976B-4311-8D60-13ED3B926FB9</t>
        </is>
      </c>
    </row>
    <row r="477">
      <c r="A477" s="10" t="n">
        <v>476</v>
      </c>
      <c r="B477" s="11" t="inlineStr">
        <is>
          <t>安永聯合會計師事務所</t>
        </is>
      </c>
      <c r="C477" s="11" t="inlineStr">
        <is>
          <t>EY 安永</t>
        </is>
      </c>
      <c r="D477" s="11" t="inlineStr">
        <is>
          <t>林政緯</t>
        </is>
      </c>
      <c r="E477" s="10" t="inlineStr">
        <is>
          <t>桃園分所</t>
        </is>
      </c>
      <c r="F477" s="12" t="inlineStr">
        <is>
          <t>桃園市桃園區中正路1088號27樓</t>
        </is>
      </c>
      <c r="G477" s="12" t="inlineStr">
        <is>
          <t>台北市信義區基隆路一段333號9樓</t>
        </is>
      </c>
      <c r="H477" s="12" t="inlineStr">
        <is>
          <t>桃園市桃園區中正路1088號27樓</t>
        </is>
      </c>
      <c r="I477" s="10" t="inlineStr">
        <is>
          <t>111/06/20</t>
        </is>
      </c>
      <c r="J477" s="11" t="inlineStr">
        <is>
          <t>全聯會一字第1110231</t>
        </is>
      </c>
      <c r="K477" s="10" t="inlineStr">
        <is>
          <t>省</t>
        </is>
      </c>
      <c r="L477" s="10" t="inlineStr">
        <is>
          <t>111/06/20</t>
        </is>
      </c>
      <c r="M477" s="10" t="inlineStr">
        <is>
          <t>4888</t>
        </is>
      </c>
      <c r="N477" s="10" t="inlineStr">
        <is>
          <t>2026-06-05</t>
        </is>
      </c>
      <c r="O477" s="11" t="inlineStr">
        <is>
          <t>https://www.roccpa.org.tw/member_search/more?id=652C34E2-1D04-4452-AC5D-0931AEEAE167</t>
        </is>
      </c>
    </row>
    <row r="478">
      <c r="A478" s="10" t="n">
        <v>477</v>
      </c>
      <c r="B478" s="11" t="inlineStr">
        <is>
          <t>安永聯合會計師事務所</t>
        </is>
      </c>
      <c r="C478" s="11" t="inlineStr">
        <is>
          <t>EY 安永</t>
        </is>
      </c>
      <c r="D478" s="11" t="inlineStr">
        <is>
          <t>羅筱靖</t>
        </is>
      </c>
      <c r="E478" s="10" t="inlineStr">
        <is>
          <t>桃園分所</t>
        </is>
      </c>
      <c r="F478" s="12" t="inlineStr">
        <is>
          <t>桃園市桃園區中正路1088號27樓</t>
        </is>
      </c>
      <c r="G478" s="12" t="inlineStr">
        <is>
          <t>台北市信義區基隆路一段333號9樓</t>
        </is>
      </c>
      <c r="H478" s="12" t="inlineStr">
        <is>
          <t>桃園市桃園區中正路1088號27樓</t>
        </is>
      </c>
      <c r="I478" s="10" t="inlineStr">
        <is>
          <t>106/06/20</t>
        </is>
      </c>
      <c r="J478" s="11" t="inlineStr">
        <is>
          <t>全聯會一字第1060221</t>
        </is>
      </c>
      <c r="K478" s="10" t="inlineStr">
        <is>
          <t>省</t>
        </is>
      </c>
      <c r="L478" s="10" t="inlineStr">
        <is>
          <t>106/06/28</t>
        </is>
      </c>
      <c r="M478" s="10" t="inlineStr">
        <is>
          <t>4580</t>
        </is>
      </c>
      <c r="N478" s="10" t="inlineStr">
        <is>
          <t>2026-06-05</t>
        </is>
      </c>
      <c r="O478" s="11" t="inlineStr">
        <is>
          <t>https://www.roccpa.org.tw/member_search/more?id=D2AD7395-08C3-4977-A44E-DE494274810F</t>
        </is>
      </c>
    </row>
    <row r="479">
      <c r="A479" s="10" t="n">
        <v>478</v>
      </c>
      <c r="B479" s="11" t="inlineStr">
        <is>
          <t>安永聯合會計師事務所</t>
        </is>
      </c>
      <c r="C479" s="11" t="inlineStr">
        <is>
          <t>EY 安永</t>
        </is>
      </c>
      <c r="D479" s="11" t="inlineStr">
        <is>
          <t>鄭清標</t>
        </is>
      </c>
      <c r="E479" s="10" t="inlineStr">
        <is>
          <t>桃園分所</t>
        </is>
      </c>
      <c r="F479" s="12" t="inlineStr">
        <is>
          <t>桃園市桃園區中正路1088號27樓</t>
        </is>
      </c>
      <c r="G479" s="12" t="inlineStr">
        <is>
          <t>台北市信義區基隆路一段333號9樓</t>
        </is>
      </c>
      <c r="H479" s="12" t="inlineStr">
        <is>
          <t>桃園市桃園區中正路1088號27樓</t>
        </is>
      </c>
      <c r="I479" s="10" t="inlineStr">
        <is>
          <t>103/05/16</t>
        </is>
      </c>
      <c r="J479" s="11" t="inlineStr">
        <is>
          <t>全聯會一字第1030200</t>
        </is>
      </c>
      <c r="K479" s="10" t="inlineStr">
        <is>
          <t>省</t>
        </is>
      </c>
      <c r="L479" s="10" t="inlineStr">
        <is>
          <t>103/06/03</t>
        </is>
      </c>
      <c r="M479" s="10" t="inlineStr">
        <is>
          <t>4242</t>
        </is>
      </c>
      <c r="N479" s="10" t="inlineStr">
        <is>
          <t>2026-06-05</t>
        </is>
      </c>
      <c r="O479" s="11" t="inlineStr">
        <is>
          <t>https://www.roccpa.org.tw/member_search/more?id=A211FD05-DF8D-4F21-93FC-15C45F3FA782</t>
        </is>
      </c>
    </row>
    <row r="480">
      <c r="A480" s="10" t="n">
        <v>479</v>
      </c>
      <c r="B480" s="11" t="inlineStr">
        <is>
          <t>安永聯合會計師事務所</t>
        </is>
      </c>
      <c r="C480" s="11" t="inlineStr">
        <is>
          <t>EY 安永</t>
        </is>
      </c>
      <c r="D480" s="11" t="inlineStr">
        <is>
          <t>陳國帥</t>
        </is>
      </c>
      <c r="E480" s="10" t="inlineStr">
        <is>
          <t>桃園分所</t>
        </is>
      </c>
      <c r="F480" s="12" t="inlineStr">
        <is>
          <t>桃園市桃園區中正路1088號27樓</t>
        </is>
      </c>
      <c r="G480" s="12" t="inlineStr">
        <is>
          <t>台北市信義區基隆路一段333號9樓</t>
        </is>
      </c>
      <c r="H480" s="12" t="inlineStr">
        <is>
          <t>桃園市桃園區中正路1088號27樓</t>
        </is>
      </c>
      <c r="I480" s="10" t="inlineStr">
        <is>
          <t>110/06/25</t>
        </is>
      </c>
      <c r="J480" s="11" t="inlineStr">
        <is>
          <t>全聯會一字第1100260</t>
        </is>
      </c>
      <c r="K480" s="10" t="inlineStr">
        <is>
          <t>省</t>
        </is>
      </c>
      <c r="L480" s="10" t="inlineStr">
        <is>
          <t>110/06/25</t>
        </is>
      </c>
      <c r="M480" s="10" t="inlineStr">
        <is>
          <t>4814</t>
        </is>
      </c>
      <c r="N480" s="10" t="inlineStr">
        <is>
          <t>2026-06-05</t>
        </is>
      </c>
      <c r="O480" s="11" t="inlineStr">
        <is>
          <t>https://www.roccpa.org.tw/member_search/more?id=E30E7C71-4AF7-44E1-87A8-76269F3A8056</t>
        </is>
      </c>
    </row>
    <row r="481">
      <c r="A481" s="10" t="n">
        <v>480</v>
      </c>
      <c r="B481" s="11" t="inlineStr">
        <is>
          <t>安永聯合會計師事務所</t>
        </is>
      </c>
      <c r="C481" s="11" t="inlineStr">
        <is>
          <t>EY 安永</t>
        </is>
      </c>
      <c r="D481" s="11" t="inlineStr">
        <is>
          <t>林楷</t>
        </is>
      </c>
      <c r="E481" s="10" t="inlineStr">
        <is>
          <t>新竹分所</t>
        </is>
      </c>
      <c r="F481" s="12" t="inlineStr">
        <is>
          <t>新竹市科學工業園區新竹市力行一路1號E-3</t>
        </is>
      </c>
      <c r="G481" s="12" t="inlineStr">
        <is>
          <t>台北市信義區基隆路一段333號9樓</t>
        </is>
      </c>
      <c r="H481" s="12" t="inlineStr">
        <is>
          <t>新竹市科學工業園區新竹市力行一路1號E-3</t>
        </is>
      </c>
      <c r="I481" s="10" t="inlineStr">
        <is>
          <t>114/07/01</t>
        </is>
      </c>
      <c r="J481" s="11" t="inlineStr">
        <is>
          <t>全聯會一字第1140000258號</t>
        </is>
      </c>
      <c r="K481" s="10" t="inlineStr">
        <is>
          <t>省</t>
        </is>
      </c>
      <c r="L481" s="10" t="inlineStr">
        <is>
          <t>114/07/01</t>
        </is>
      </c>
      <c r="M481" s="10" t="inlineStr">
        <is>
          <t>5136</t>
        </is>
      </c>
      <c r="N481" s="10" t="inlineStr">
        <is>
          <t>2026-06-05</t>
        </is>
      </c>
      <c r="O481" s="11" t="inlineStr">
        <is>
          <t>https://www.roccpa.org.tw/member_search/more?id=81E13053-1C89-44B8-9522-5461C0A2E72C</t>
        </is>
      </c>
    </row>
    <row r="482">
      <c r="A482" s="10" t="n">
        <v>481</v>
      </c>
      <c r="B482" s="11" t="inlineStr">
        <is>
          <t>安永聯合會計師事務所</t>
        </is>
      </c>
      <c r="C482" s="11" t="inlineStr">
        <is>
          <t>EY 安永</t>
        </is>
      </c>
      <c r="D482" s="11" t="inlineStr">
        <is>
          <t>楊雨霓</t>
        </is>
      </c>
      <c r="E482" s="10" t="inlineStr">
        <is>
          <t>新竹分所</t>
        </is>
      </c>
      <c r="F482" s="12" t="inlineStr">
        <is>
          <t>新竹市科學工業園區新竹市力行一路1號E-3</t>
        </is>
      </c>
      <c r="G482" s="12" t="inlineStr">
        <is>
          <t>台北市信義區基隆路一段333號9樓</t>
        </is>
      </c>
      <c r="H482" s="12" t="inlineStr">
        <is>
          <t>新竹市科學工業園區新竹市力行一路1號E-3</t>
        </is>
      </c>
      <c r="I482" s="10" t="inlineStr">
        <is>
          <t>109/10/13</t>
        </is>
      </c>
      <c r="J482" s="11" t="inlineStr">
        <is>
          <t>全聯會一字第1090403</t>
        </is>
      </c>
      <c r="K482" s="10" t="inlineStr">
        <is>
          <t>省</t>
        </is>
      </c>
      <c r="L482" s="10" t="inlineStr">
        <is>
          <t>109/10/13</t>
        </is>
      </c>
      <c r="M482" s="10" t="inlineStr">
        <is>
          <t>4768</t>
        </is>
      </c>
      <c r="N482" s="10" t="inlineStr">
        <is>
          <t>2026-06-05</t>
        </is>
      </c>
      <c r="O482" s="11" t="inlineStr">
        <is>
          <t>https://www.roccpa.org.tw/member_search/more?id=9226AAFD-C744-4881-95F7-944B90EBB756</t>
        </is>
      </c>
    </row>
    <row r="483">
      <c r="A483" s="10" t="n">
        <v>482</v>
      </c>
      <c r="B483" s="11" t="inlineStr">
        <is>
          <t>安永聯合會計師事務所</t>
        </is>
      </c>
      <c r="C483" s="11" t="inlineStr">
        <is>
          <t>EY 安永</t>
        </is>
      </c>
      <c r="D483" s="11" t="inlineStr">
        <is>
          <t>胡慎緁</t>
        </is>
      </c>
      <c r="E483" s="10" t="inlineStr">
        <is>
          <t>新竹分所</t>
        </is>
      </c>
      <c r="F483" s="12" t="inlineStr">
        <is>
          <t>新竹市科學工業園區新竹市力行一路1號E-3</t>
        </is>
      </c>
      <c r="G483" s="12" t="inlineStr">
        <is>
          <t>台北市信義區基隆路一段333號9樓</t>
        </is>
      </c>
      <c r="H483" s="12" t="inlineStr">
        <is>
          <t>新竹市科學工業園區新竹市力行一路1號E-3</t>
        </is>
      </c>
      <c r="I483" s="10" t="inlineStr">
        <is>
          <t>111/06/20</t>
        </is>
      </c>
      <c r="J483" s="11" t="inlineStr">
        <is>
          <t>全聯會一字第1110232</t>
        </is>
      </c>
      <c r="K483" s="10" t="inlineStr">
        <is>
          <t>省</t>
        </is>
      </c>
      <c r="L483" s="10" t="inlineStr">
        <is>
          <t>111/06/20</t>
        </is>
      </c>
      <c r="M483" s="10" t="inlineStr">
        <is>
          <t>4889</t>
        </is>
      </c>
      <c r="N483" s="10" t="inlineStr">
        <is>
          <t>2026-06-05</t>
        </is>
      </c>
      <c r="O483" s="11" t="inlineStr">
        <is>
          <t>https://www.roccpa.org.tw/member_search/more?id=195D9517-B98A-49CB-BEB0-0EAAD70AFEE6</t>
        </is>
      </c>
    </row>
    <row r="484">
      <c r="A484" s="10" t="n">
        <v>483</v>
      </c>
      <c r="B484" s="11" t="inlineStr">
        <is>
          <t>安永聯合會計師事務所</t>
        </is>
      </c>
      <c r="C484" s="11" t="inlineStr">
        <is>
          <t>EY 安永</t>
        </is>
      </c>
      <c r="D484" s="11" t="inlineStr">
        <is>
          <t>邱琬茹</t>
        </is>
      </c>
      <c r="E484" s="10" t="inlineStr">
        <is>
          <t>新竹分所</t>
        </is>
      </c>
      <c r="F484" s="12" t="inlineStr">
        <is>
          <t>新竹市科學工業園區新竹市力行一路1號E-3</t>
        </is>
      </c>
      <c r="G484" s="12" t="inlineStr">
        <is>
          <t>台北市信義區基隆路一段333號9樓</t>
        </is>
      </c>
      <c r="H484" s="12" t="inlineStr">
        <is>
          <t>新竹市科學工業園區新竹市力行一路1號E-3</t>
        </is>
      </c>
      <c r="I484" s="10" t="inlineStr">
        <is>
          <t>104/07/09</t>
        </is>
      </c>
      <c r="J484" s="11" t="inlineStr">
        <is>
          <t>全聯會一字第1040222</t>
        </is>
      </c>
      <c r="K484" s="10" t="inlineStr">
        <is>
          <t>省</t>
        </is>
      </c>
      <c r="L484" s="10" t="inlineStr">
        <is>
          <t>104/07/23</t>
        </is>
      </c>
      <c r="M484" s="10" t="inlineStr">
        <is>
          <t>4402</t>
        </is>
      </c>
      <c r="N484" s="10" t="inlineStr">
        <is>
          <t>2026-06-05</t>
        </is>
      </c>
      <c r="O484" s="11" t="inlineStr">
        <is>
          <t>https://www.roccpa.org.tw/member_search/more?id=329E5636-718B-4F6E-AFDF-14AA2F891EFA</t>
        </is>
      </c>
    </row>
    <row r="485">
      <c r="A485" s="10" t="n">
        <v>484</v>
      </c>
      <c r="B485" s="11" t="inlineStr">
        <is>
          <t>安永聯合會計師事務所</t>
        </is>
      </c>
      <c r="C485" s="11" t="inlineStr">
        <is>
          <t>EY 安永</t>
        </is>
      </c>
      <c r="D485" s="11" t="inlineStr">
        <is>
          <t>黃敏如</t>
        </is>
      </c>
      <c r="E485" s="10" t="inlineStr">
        <is>
          <t>新竹分所</t>
        </is>
      </c>
      <c r="F485" s="12" t="inlineStr">
        <is>
          <t>新竹市科學工業園區新竹市力行一路1號E-3</t>
        </is>
      </c>
      <c r="G485" s="12" t="inlineStr">
        <is>
          <t>台北市信義區基隆路一段333號9樓</t>
        </is>
      </c>
      <c r="H485" s="12" t="inlineStr">
        <is>
          <t>新竹市科學工業園區新竹市力行一路1號E-3</t>
        </is>
      </c>
      <c r="I485" s="10" t="inlineStr">
        <is>
          <t>112/06/29</t>
        </is>
      </c>
      <c r="J485" s="11" t="inlineStr">
        <is>
          <t>全聯會一字第1120255</t>
        </is>
      </c>
      <c r="K485" s="10" t="inlineStr">
        <is>
          <t>省</t>
        </is>
      </c>
      <c r="L485" s="10" t="inlineStr">
        <is>
          <t>112/06/29</t>
        </is>
      </c>
      <c r="M485" s="10" t="inlineStr">
        <is>
          <t>4982</t>
        </is>
      </c>
      <c r="N485" s="10" t="inlineStr">
        <is>
          <t>2026-06-05</t>
        </is>
      </c>
      <c r="O485" s="11" t="inlineStr">
        <is>
          <t>https://www.roccpa.org.tw/member_search/more?id=7F88B59C-D293-4DEB-91B3-AA28D1BC0CCB</t>
        </is>
      </c>
    </row>
    <row r="486">
      <c r="A486" s="10" t="n">
        <v>485</v>
      </c>
      <c r="B486" s="11" t="inlineStr">
        <is>
          <t>安永聯合會計師事務所</t>
        </is>
      </c>
      <c r="C486" s="11" t="inlineStr">
        <is>
          <t>EY 安永</t>
        </is>
      </c>
      <c r="D486" s="11" t="inlineStr">
        <is>
          <t>柯雅婷</t>
        </is>
      </c>
      <c r="E486" s="10" t="inlineStr">
        <is>
          <t>台中分所</t>
        </is>
      </c>
      <c r="F486" s="12" t="inlineStr">
        <is>
          <t>台中市西屯區市政北七路186號26樓</t>
        </is>
      </c>
      <c r="G486" s="12" t="inlineStr">
        <is>
          <t>台北市信義區基隆路一段333號9樓</t>
        </is>
      </c>
      <c r="H486" s="12" t="inlineStr">
        <is>
          <t>台中市西屯區市政北七路186號26樓</t>
        </is>
      </c>
      <c r="I486" s="10" t="inlineStr">
        <is>
          <t>114/07/01</t>
        </is>
      </c>
      <c r="J486" s="11" t="inlineStr">
        <is>
          <t>全聯會一字第1140000262號</t>
        </is>
      </c>
      <c r="K486" s="10" t="inlineStr">
        <is>
          <t>中市</t>
        </is>
      </c>
      <c r="L486" s="10" t="inlineStr">
        <is>
          <t>114/07/01</t>
        </is>
      </c>
      <c r="M486" s="10" t="inlineStr">
        <is>
          <t>1148</t>
        </is>
      </c>
      <c r="N486" s="10" t="inlineStr">
        <is>
          <t>2026-06-05</t>
        </is>
      </c>
      <c r="O486" s="11" t="inlineStr">
        <is>
          <t>https://www.roccpa.org.tw/member_search/more?id=419B9E59-D184-4673-8BFF-F9FE261B07C6</t>
        </is>
      </c>
    </row>
    <row r="487">
      <c r="A487" s="10" t="n">
        <v>486</v>
      </c>
      <c r="B487" s="11" t="inlineStr">
        <is>
          <t>安永聯合會計師事務所</t>
        </is>
      </c>
      <c r="C487" s="11" t="inlineStr">
        <is>
          <t>EY 安永</t>
        </is>
      </c>
      <c r="D487" s="11" t="inlineStr">
        <is>
          <t>羅文振</t>
        </is>
      </c>
      <c r="E487" s="10" t="inlineStr">
        <is>
          <t>台中分所</t>
        </is>
      </c>
      <c r="F487" s="12" t="inlineStr">
        <is>
          <t>台中市西屯區市政北七路186號26樓</t>
        </is>
      </c>
      <c r="G487" s="12" t="inlineStr">
        <is>
          <t>台北市信義區基隆路一段333號9樓</t>
        </is>
      </c>
      <c r="H487" s="12" t="inlineStr">
        <is>
          <t>台中市西屯區市政北七路186號26樓</t>
        </is>
      </c>
      <c r="I487" s="10" t="inlineStr">
        <is>
          <t>111/06/20</t>
        </is>
      </c>
      <c r="J487" s="11" t="inlineStr">
        <is>
          <t>全聯會一字第1110237</t>
        </is>
      </c>
      <c r="K487" s="10" t="inlineStr">
        <is>
          <t>中市</t>
        </is>
      </c>
      <c r="L487" s="10" t="inlineStr">
        <is>
          <t>111/6/20</t>
        </is>
      </c>
      <c r="M487" s="10" t="inlineStr">
        <is>
          <t>1058</t>
        </is>
      </c>
      <c r="N487" s="10" t="inlineStr">
        <is>
          <t>2026-06-05</t>
        </is>
      </c>
      <c r="O487" s="11" t="inlineStr">
        <is>
          <t>https://www.roccpa.org.tw/member_search/more?id=F8AFB11A-E868-4AB0-8310-1AAF67A0CE31</t>
        </is>
      </c>
    </row>
    <row r="488">
      <c r="A488" s="10" t="n">
        <v>487</v>
      </c>
      <c r="B488" s="11" t="inlineStr">
        <is>
          <t>安永聯合會計師事務所</t>
        </is>
      </c>
      <c r="C488" s="11" t="inlineStr">
        <is>
          <t>EY 安永</t>
        </is>
      </c>
      <c r="D488" s="11" t="inlineStr">
        <is>
          <t>賴書晨</t>
        </is>
      </c>
      <c r="E488" s="10" t="inlineStr">
        <is>
          <t>台中分所</t>
        </is>
      </c>
      <c r="F488" s="12" t="inlineStr">
        <is>
          <t>台中市西屯區市政北七路186號26樓</t>
        </is>
      </c>
      <c r="G488" s="12" t="inlineStr">
        <is>
          <t>台北市信義區基隆路一段333號9樓</t>
        </is>
      </c>
      <c r="H488" s="12" t="inlineStr">
        <is>
          <t>台中市西屯區市政北七路186號26樓</t>
        </is>
      </c>
      <c r="I488" s="10" t="inlineStr">
        <is>
          <t>114/07/01</t>
        </is>
      </c>
      <c r="J488" s="11" t="inlineStr">
        <is>
          <t>全聯會一字第1140000263號</t>
        </is>
      </c>
      <c r="K488" s="10" t="inlineStr">
        <is>
          <t>中市</t>
        </is>
      </c>
      <c r="L488" s="10" t="inlineStr">
        <is>
          <t>114/07/01</t>
        </is>
      </c>
      <c r="M488" s="10" t="inlineStr">
        <is>
          <t>1149</t>
        </is>
      </c>
      <c r="N488" s="10" t="inlineStr">
        <is>
          <t>2026-06-05</t>
        </is>
      </c>
      <c r="O488" s="11" t="inlineStr">
        <is>
          <t>https://www.roccpa.org.tw/member_search/more?id=0B57C455-1A61-42C1-A23C-7F109200E3DB</t>
        </is>
      </c>
    </row>
    <row r="489">
      <c r="A489" s="10" t="n">
        <v>488</v>
      </c>
      <c r="B489" s="11" t="inlineStr">
        <is>
          <t>安永聯合會計師事務所</t>
        </is>
      </c>
      <c r="C489" s="11" t="inlineStr">
        <is>
          <t>EY 安永</t>
        </is>
      </c>
      <c r="D489" s="11" t="inlineStr">
        <is>
          <t>陳明宏</t>
        </is>
      </c>
      <c r="E489" s="10" t="inlineStr">
        <is>
          <t>台中分所</t>
        </is>
      </c>
      <c r="F489" s="12" t="inlineStr">
        <is>
          <t>台中市西屯區市政北七路186號26樓</t>
        </is>
      </c>
      <c r="G489" s="12" t="inlineStr">
        <is>
          <t>台北市信義區基隆路一段333號9樓</t>
        </is>
      </c>
      <c r="H489" s="12" t="inlineStr">
        <is>
          <t>台中市西屯區市政北七路186號26樓</t>
        </is>
      </c>
      <c r="I489" s="10" t="inlineStr">
        <is>
          <t>106/06/20</t>
        </is>
      </c>
      <c r="J489" s="11" t="inlineStr">
        <is>
          <t>全聯會一字第1060218</t>
        </is>
      </c>
      <c r="K489" s="10" t="inlineStr">
        <is>
          <t>中市</t>
        </is>
      </c>
      <c r="L489" s="10" t="inlineStr">
        <is>
          <t>106/07/03</t>
        </is>
      </c>
      <c r="M489" s="10" t="inlineStr">
        <is>
          <t>935</t>
        </is>
      </c>
      <c r="N489" s="10" t="inlineStr">
        <is>
          <t>2026-06-05</t>
        </is>
      </c>
      <c r="O489" s="11" t="inlineStr">
        <is>
          <t>https://www.roccpa.org.tw/member_search/more?id=D81488A6-2D5C-47DE-AAFD-00F8957755F9</t>
        </is>
      </c>
    </row>
    <row r="490">
      <c r="A490" s="10" t="n">
        <v>489</v>
      </c>
      <c r="B490" s="11" t="inlineStr">
        <is>
          <t>安永聯合會計師事務所</t>
        </is>
      </c>
      <c r="C490" s="11" t="inlineStr">
        <is>
          <t>EY 安永</t>
        </is>
      </c>
      <c r="D490" s="11" t="inlineStr">
        <is>
          <t>黃子評</t>
        </is>
      </c>
      <c r="E490" s="10" t="inlineStr">
        <is>
          <t>台中分所</t>
        </is>
      </c>
      <c r="F490" s="12" t="inlineStr">
        <is>
          <t>台中市西屯區市政北七路186號26樓</t>
        </is>
      </c>
      <c r="G490" s="12" t="inlineStr">
        <is>
          <t>台北市信義區基隆路一段333號9樓</t>
        </is>
      </c>
      <c r="H490" s="12" t="inlineStr">
        <is>
          <t>台中市西屯區市政北七路186號26樓</t>
        </is>
      </c>
      <c r="I490" s="10" t="inlineStr">
        <is>
          <t>103/05/16</t>
        </is>
      </c>
      <c r="J490" s="11" t="inlineStr">
        <is>
          <t>全聯會一字第1030198</t>
        </is>
      </c>
      <c r="K490" s="10" t="inlineStr">
        <is>
          <t>中市</t>
        </is>
      </c>
      <c r="L490" s="10" t="inlineStr">
        <is>
          <t>103/06/05</t>
        </is>
      </c>
      <c r="M490" s="10" t="inlineStr">
        <is>
          <t>769</t>
        </is>
      </c>
      <c r="N490" s="10" t="inlineStr">
        <is>
          <t>2026-06-05</t>
        </is>
      </c>
      <c r="O490" s="11" t="inlineStr">
        <is>
          <t>https://www.roccpa.org.tw/member_search/more?id=9D4F1C8D-8AAB-4007-9D82-738721BF2780</t>
        </is>
      </c>
    </row>
    <row r="491">
      <c r="A491" s="10" t="n">
        <v>490</v>
      </c>
      <c r="B491" s="11" t="inlineStr">
        <is>
          <t>安永聯合會計師事務所</t>
        </is>
      </c>
      <c r="C491" s="11" t="inlineStr">
        <is>
          <t>EY 安永</t>
        </is>
      </c>
      <c r="D491" s="11" t="inlineStr">
        <is>
          <t>黃宇廷</t>
        </is>
      </c>
      <c r="E491" s="10" t="inlineStr">
        <is>
          <t>台中分所</t>
        </is>
      </c>
      <c r="F491" s="12" t="inlineStr">
        <is>
          <t>台中市西屯區市政北七路186號26樓</t>
        </is>
      </c>
      <c r="G491" s="12" t="inlineStr">
        <is>
          <t>台北市信義區基隆路一段333號9樓</t>
        </is>
      </c>
      <c r="H491" s="12" t="inlineStr">
        <is>
          <t>台中市西屯區市政北七路186號26樓</t>
        </is>
      </c>
      <c r="I491" s="10" t="inlineStr">
        <is>
          <t>108/07/25</t>
        </is>
      </c>
      <c r="J491" s="11" t="inlineStr">
        <is>
          <t>全聯會一字第1080286</t>
        </is>
      </c>
      <c r="K491" s="10" t="inlineStr">
        <is>
          <t>中市</t>
        </is>
      </c>
      <c r="L491" s="10" t="inlineStr">
        <is>
          <t>108/07/25</t>
        </is>
      </c>
      <c r="M491" s="10" t="inlineStr">
        <is>
          <t>976</t>
        </is>
      </c>
      <c r="N491" s="10" t="inlineStr">
        <is>
          <t>2026-06-05</t>
        </is>
      </c>
      <c r="O491" s="11" t="inlineStr">
        <is>
          <t>https://www.roccpa.org.tw/member_search/more?id=168371FB-6B07-4F0A-AAE2-2C61AFDB43E0</t>
        </is>
      </c>
    </row>
    <row r="492">
      <c r="A492" s="10" t="n">
        <v>491</v>
      </c>
      <c r="B492" s="11" t="inlineStr">
        <is>
          <t>安永聯合會計師事務所</t>
        </is>
      </c>
      <c r="C492" s="11" t="inlineStr">
        <is>
          <t>EY 安永</t>
        </is>
      </c>
      <c r="D492" s="11" t="inlineStr">
        <is>
          <t>黃靖雅</t>
        </is>
      </c>
      <c r="E492" s="10" t="inlineStr">
        <is>
          <t>台中分所</t>
        </is>
      </c>
      <c r="F492" s="12" t="inlineStr">
        <is>
          <t>台中市西屯區市政北七路186號26樓</t>
        </is>
      </c>
      <c r="G492" s="12" t="inlineStr">
        <is>
          <t>台北市信義區基隆路一段333號9樓</t>
        </is>
      </c>
      <c r="H492" s="12" t="inlineStr">
        <is>
          <t>台中市西屯區市政北七路186號26樓</t>
        </is>
      </c>
      <c r="I492" s="10" t="inlineStr">
        <is>
          <t>112/06/29</t>
        </is>
      </c>
      <c r="J492" s="11" t="inlineStr">
        <is>
          <t>全聯會一字第1120257</t>
        </is>
      </c>
      <c r="K492" s="10" t="inlineStr">
        <is>
          <t>中市</t>
        </is>
      </c>
      <c r="L492" s="10" t="inlineStr">
        <is>
          <t>112/06/29</t>
        </is>
      </c>
      <c r="M492" s="10" t="inlineStr">
        <is>
          <t>1090</t>
        </is>
      </c>
      <c r="N492" s="10" t="inlineStr">
        <is>
          <t>2026-06-05</t>
        </is>
      </c>
      <c r="O492" s="11" t="inlineStr">
        <is>
          <t>https://www.roccpa.org.tw/member_search/more?id=F50E2F4A-78C7-45BA-A897-655F5A8C854F</t>
        </is>
      </c>
    </row>
    <row r="493">
      <c r="A493" s="10" t="n">
        <v>492</v>
      </c>
      <c r="B493" s="11" t="inlineStr">
        <is>
          <t>安永聯合會計師事務所</t>
        </is>
      </c>
      <c r="C493" s="11" t="inlineStr">
        <is>
          <t>EY 安永</t>
        </is>
      </c>
      <c r="D493" s="11" t="inlineStr">
        <is>
          <t>姚世傑</t>
        </is>
      </c>
      <c r="E493" s="10" t="inlineStr">
        <is>
          <t>台南分所</t>
        </is>
      </c>
      <c r="F493" s="12" t="inlineStr">
        <is>
          <t>台南市中西區永福路一段189號11樓</t>
        </is>
      </c>
      <c r="G493" s="12" t="inlineStr">
        <is>
          <t>台北市信義區基隆路一段333號9樓</t>
        </is>
      </c>
      <c r="H493" s="12" t="inlineStr">
        <is>
          <t>台南市中西區永福路一段189號11樓</t>
        </is>
      </c>
      <c r="I493" s="10" t="inlineStr">
        <is>
          <t>113/07/15</t>
        </is>
      </c>
      <c r="J493" s="11" t="inlineStr">
        <is>
          <t>全聯會一字第1130000326號</t>
        </is>
      </c>
      <c r="K493" s="10" t="inlineStr">
        <is>
          <t>省</t>
        </is>
      </c>
      <c r="L493" s="10" t="inlineStr">
        <is>
          <t>113/07/15</t>
        </is>
      </c>
      <c r="M493" s="10" t="inlineStr">
        <is>
          <t>5043</t>
        </is>
      </c>
      <c r="N493" s="10" t="inlineStr">
        <is>
          <t>2026-06-05</t>
        </is>
      </c>
      <c r="O493" s="11" t="inlineStr">
        <is>
          <t>https://www.roccpa.org.tw/member_search/more?id=67DCF218-135E-441B-ADFD-4B6B62CC6406</t>
        </is>
      </c>
    </row>
    <row r="494">
      <c r="A494" s="10" t="n">
        <v>493</v>
      </c>
      <c r="B494" s="11" t="inlineStr">
        <is>
          <t>安永聯合會計師事務所</t>
        </is>
      </c>
      <c r="C494" s="11" t="inlineStr">
        <is>
          <t>EY 安永</t>
        </is>
      </c>
      <c r="D494" s="11" t="inlineStr">
        <is>
          <t>洪國森</t>
        </is>
      </c>
      <c r="E494" s="10" t="inlineStr">
        <is>
          <t>台南分所</t>
        </is>
      </c>
      <c r="F494" s="12" t="inlineStr">
        <is>
          <t>台南市中西區永福路一段189號11樓</t>
        </is>
      </c>
      <c r="G494" s="12" t="inlineStr">
        <is>
          <t>台北市信義區基隆路一段333號9樓</t>
        </is>
      </c>
      <c r="H494" s="12" t="inlineStr">
        <is>
          <t>台南市中西區永福路一段189號11樓</t>
        </is>
      </c>
      <c r="I494" s="10" t="inlineStr">
        <is>
          <t>110/06/25</t>
        </is>
      </c>
      <c r="J494" s="11" t="inlineStr">
        <is>
          <t>全聯會一字第1100259</t>
        </is>
      </c>
      <c r="K494" s="10" t="inlineStr">
        <is>
          <t>省</t>
        </is>
      </c>
      <c r="L494" s="10" t="inlineStr">
        <is>
          <t>110/06/25</t>
        </is>
      </c>
      <c r="M494" s="10" t="inlineStr">
        <is>
          <t>4813</t>
        </is>
      </c>
      <c r="N494" s="10" t="inlineStr">
        <is>
          <t>2026-06-05</t>
        </is>
      </c>
      <c r="O494" s="11" t="inlineStr">
        <is>
          <t>https://www.roccpa.org.tw/member_search/more?id=FC1BB413-EDE2-47EC-8B0C-8220605FF488</t>
        </is>
      </c>
    </row>
    <row r="495">
      <c r="A495" s="10" t="n">
        <v>494</v>
      </c>
      <c r="B495" s="11" t="inlineStr">
        <is>
          <t>安永聯合會計師事務所</t>
        </is>
      </c>
      <c r="C495" s="11" t="inlineStr">
        <is>
          <t>EY 安永</t>
        </is>
      </c>
      <c r="D495" s="11" t="inlineStr">
        <is>
          <t>胡子仁</t>
        </is>
      </c>
      <c r="E495" s="10" t="inlineStr">
        <is>
          <t>台南分所</t>
        </is>
      </c>
      <c r="F495" s="12" t="inlineStr">
        <is>
          <t>台南市中西區永福路一段189號11樓</t>
        </is>
      </c>
      <c r="G495" s="12" t="inlineStr">
        <is>
          <t>台北市信義區基隆路一段333號9樓</t>
        </is>
      </c>
      <c r="H495" s="12" t="inlineStr">
        <is>
          <t>台南市中西區永福路一段189號11樓</t>
        </is>
      </c>
      <c r="I495" s="10" t="inlineStr">
        <is>
          <t>101/08/14</t>
        </is>
      </c>
      <c r="J495" s="11" t="inlineStr">
        <is>
          <t>全聯會一字第1010273</t>
        </is>
      </c>
      <c r="K495" s="10" t="inlineStr">
        <is>
          <t>省</t>
        </is>
      </c>
      <c r="L495" s="10" t="inlineStr">
        <is>
          <t>101/09/03</t>
        </is>
      </c>
      <c r="M495" s="10" t="inlineStr">
        <is>
          <t>4007</t>
        </is>
      </c>
      <c r="N495" s="10" t="inlineStr">
        <is>
          <t>2026-06-05</t>
        </is>
      </c>
      <c r="O495" s="11" t="inlineStr">
        <is>
          <t>https://www.roccpa.org.tw/member_search/more?id=13FF5FAD-7731-4DEB-A38A-A99E34DF28D7</t>
        </is>
      </c>
    </row>
    <row r="496">
      <c r="A496" s="10" t="n">
        <v>495</v>
      </c>
      <c r="B496" s="11" t="inlineStr">
        <is>
          <t>安永聯合會計師事務所</t>
        </is>
      </c>
      <c r="C496" s="11" t="inlineStr">
        <is>
          <t>EY 安永</t>
        </is>
      </c>
      <c r="D496" s="11" t="inlineStr">
        <is>
          <t>吳文賓</t>
        </is>
      </c>
      <c r="E496" s="10" t="inlineStr">
        <is>
          <t>高雄分所</t>
        </is>
      </c>
      <c r="F496" s="12" t="inlineStr">
        <is>
          <t>高雄市新興區中正三路2號17樓</t>
        </is>
      </c>
      <c r="G496" s="12" t="inlineStr">
        <is>
          <t>台北市信義區基隆路一段333號9樓</t>
        </is>
      </c>
      <c r="H496" s="12" t="inlineStr">
        <is>
          <t>高雄市新興區中正三路2號17樓</t>
        </is>
      </c>
      <c r="I496" s="10" t="inlineStr"/>
      <c r="J496" s="11" t="inlineStr"/>
      <c r="K496" s="10" t="inlineStr">
        <is>
          <t>高市</t>
        </is>
      </c>
      <c r="L496" s="10" t="inlineStr">
        <is>
          <t>105/09/20</t>
        </is>
      </c>
      <c r="M496" s="10" t="inlineStr">
        <is>
          <t>1013</t>
        </is>
      </c>
      <c r="N496" s="10" t="inlineStr">
        <is>
          <t>2026-06-05</t>
        </is>
      </c>
      <c r="O496" s="11" t="inlineStr">
        <is>
          <t>https://www.roccpa.org.tw/member_search/more?id=EAC26173-A603-428D-B966-743CC01ED09C</t>
        </is>
      </c>
    </row>
    <row r="497">
      <c r="A497" s="10" t="n">
        <v>496</v>
      </c>
      <c r="B497" s="11" t="inlineStr">
        <is>
          <t>安永聯合會計師事務所</t>
        </is>
      </c>
      <c r="C497" s="11" t="inlineStr">
        <is>
          <t>EY 安永</t>
        </is>
      </c>
      <c r="D497" s="11" t="inlineStr">
        <is>
          <t>李芳文</t>
        </is>
      </c>
      <c r="E497" s="10" t="inlineStr">
        <is>
          <t>高雄分所</t>
        </is>
      </c>
      <c r="F497" s="12" t="inlineStr">
        <is>
          <t>高雄市新興區中正三路2號17樓</t>
        </is>
      </c>
      <c r="G497" s="12" t="inlineStr">
        <is>
          <t>台北市信義區基隆路一段333號9樓</t>
        </is>
      </c>
      <c r="H497" s="12" t="inlineStr">
        <is>
          <t>高雄市新興區中正三路2號17樓</t>
        </is>
      </c>
      <c r="I497" s="10" t="inlineStr">
        <is>
          <t>101/08/14</t>
        </is>
      </c>
      <c r="J497" s="11" t="inlineStr">
        <is>
          <t>全聯會一字第1010272</t>
        </is>
      </c>
      <c r="K497" s="10" t="inlineStr">
        <is>
          <t>高市</t>
        </is>
      </c>
      <c r="L497" s="10" t="inlineStr">
        <is>
          <t>101/09/03</t>
        </is>
      </c>
      <c r="M497" s="10" t="inlineStr">
        <is>
          <t>819</t>
        </is>
      </c>
      <c r="N497" s="10" t="inlineStr">
        <is>
          <t>2026-06-05</t>
        </is>
      </c>
      <c r="O497" s="11" t="inlineStr">
        <is>
          <t>https://www.roccpa.org.tw/member_search/more?id=28677B91-A44C-4BB9-92F6-9677670A9796</t>
        </is>
      </c>
    </row>
    <row r="498">
      <c r="A498" s="10" t="n">
        <v>497</v>
      </c>
      <c r="B498" s="11" t="inlineStr">
        <is>
          <t>安永聯合會計師事務所</t>
        </is>
      </c>
      <c r="C498" s="11" t="inlineStr">
        <is>
          <t>EY 安永</t>
        </is>
      </c>
      <c r="D498" s="11" t="inlineStr">
        <is>
          <t>洪福讚</t>
        </is>
      </c>
      <c r="E498" s="10" t="inlineStr">
        <is>
          <t>高雄分所</t>
        </is>
      </c>
      <c r="F498" s="12" t="inlineStr">
        <is>
          <t>高雄市新興區中正三路2號17樓</t>
        </is>
      </c>
      <c r="G498" s="12" t="inlineStr">
        <is>
          <t>台北市信義區基隆路一段333號9樓</t>
        </is>
      </c>
      <c r="H498" s="12" t="inlineStr">
        <is>
          <t>高雄市新興區中正三路2號17樓</t>
        </is>
      </c>
      <c r="I498" s="10" t="inlineStr">
        <is>
          <t>115/07/01</t>
        </is>
      </c>
      <c r="J498" s="11" t="inlineStr">
        <is>
          <t>全聯會一字第1150000320號</t>
        </is>
      </c>
      <c r="K498" s="10" t="inlineStr">
        <is>
          <t>高市</t>
        </is>
      </c>
      <c r="L498" s="10" t="inlineStr">
        <is>
          <t>115/07/01</t>
        </is>
      </c>
      <c r="M498" s="10" t="inlineStr">
        <is>
          <t>1177</t>
        </is>
      </c>
      <c r="N498" s="10" t="inlineStr">
        <is>
          <t>2026-07-06</t>
        </is>
      </c>
      <c r="O498" s="11" t="inlineStr">
        <is>
          <t>https://www.roccpa.org.tw/member_search/more?id=354c96a547214dacb6935b7662bb48e5</t>
        </is>
      </c>
    </row>
    <row r="499">
      <c r="A499" s="10" t="n">
        <v>498</v>
      </c>
      <c r="B499" s="11" t="inlineStr">
        <is>
          <t>安永聯合會計師事務所</t>
        </is>
      </c>
      <c r="C499" s="11" t="inlineStr">
        <is>
          <t>EY 安永</t>
        </is>
      </c>
      <c r="D499" s="11" t="inlineStr">
        <is>
          <t>陳政初</t>
        </is>
      </c>
      <c r="E499" s="10" t="inlineStr">
        <is>
          <t>高雄分所</t>
        </is>
      </c>
      <c r="F499" s="12" t="inlineStr">
        <is>
          <t>高雄市新興區中正三路2號17樓</t>
        </is>
      </c>
      <c r="G499" s="12" t="inlineStr">
        <is>
          <t>台北市信義區基隆路一段333號9樓</t>
        </is>
      </c>
      <c r="H499" s="12" t="inlineStr">
        <is>
          <t>高雄市新興區中正三路2號17樓</t>
        </is>
      </c>
      <c r="I499" s="10" t="inlineStr"/>
      <c r="J499" s="11" t="inlineStr"/>
      <c r="K499" s="10" t="inlineStr">
        <is>
          <t>高市</t>
        </is>
      </c>
      <c r="L499" s="10" t="inlineStr">
        <is>
          <t>088/11/25</t>
        </is>
      </c>
      <c r="M499" s="10" t="inlineStr">
        <is>
          <t>437</t>
        </is>
      </c>
      <c r="N499" s="10" t="inlineStr">
        <is>
          <t>2026-06-05</t>
        </is>
      </c>
      <c r="O499" s="11" t="inlineStr">
        <is>
          <t>https://www.roccpa.org.tw/member_search/more?id=57FE5C7F-98FA-40F5-B488-E6AA0A3C4E7A</t>
        </is>
      </c>
    </row>
  </sheetData>
  <autoFilter ref="A1:O4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2" customWidth="1" min="4" max="4"/>
    <col width="11" customWidth="1" min="5" max="5"/>
    <col width="40" customWidth="1" min="6" max="6"/>
    <col width="32" customWidth="1" min="7" max="7"/>
    <col width="32" customWidth="1" min="8" max="8"/>
    <col width="14" customWidth="1" min="9" max="9"/>
    <col width="26" customWidth="1" min="10" max="10"/>
    <col width="10" customWidth="1" min="11" max="11"/>
    <col width="12" customWidth="1" min="12" max="12"/>
    <col width="10" customWidth="1" min="13" max="13"/>
    <col width="15" customWidth="1" min="14" max="14"/>
    <col width="60" customWidth="1" min="15" max="15"/>
  </cols>
  <sheetData>
    <row r="1" ht="22" customHeight="1">
      <c r="A1" s="3" t="inlineStr">
        <is>
          <t>序號</t>
        </is>
      </c>
      <c r="B1" s="3" t="inlineStr">
        <is>
          <t>事務所名稱</t>
        </is>
      </c>
      <c r="C1" s="3" t="inlineStr">
        <is>
          <t>國際品牌</t>
        </is>
      </c>
      <c r="D1" s="3" t="inlineStr">
        <is>
          <t>會計師姓名</t>
        </is>
      </c>
      <c r="E1" s="3" t="inlineStr">
        <is>
          <t>所屬分所</t>
        </is>
      </c>
      <c r="F1" s="3" t="inlineStr">
        <is>
          <t>辦公室地址</t>
        </is>
      </c>
      <c r="G1" s="3" t="inlineStr">
        <is>
          <t>主事務所地址</t>
        </is>
      </c>
      <c r="H1" s="3" t="inlineStr">
        <is>
          <t>分事務所地址</t>
        </is>
      </c>
      <c r="I1" s="3" t="inlineStr">
        <is>
          <t>執業登記日期</t>
        </is>
      </c>
      <c r="J1" s="3" t="inlineStr">
        <is>
          <t>執業登記文號</t>
        </is>
      </c>
      <c r="K1" s="3" t="inlineStr">
        <is>
          <t>所屬公會</t>
        </is>
      </c>
      <c r="L1" s="3" t="inlineStr">
        <is>
          <t>入會日期</t>
        </is>
      </c>
      <c r="M1" s="3" t="inlineStr">
        <is>
          <t>會籍編號</t>
        </is>
      </c>
      <c r="N1" s="3" t="inlineStr">
        <is>
          <t>資料最後更新日</t>
        </is>
      </c>
      <c r="O1" s="3" t="inlineStr">
        <is>
          <t>明細連結</t>
        </is>
      </c>
    </row>
    <row r="2">
      <c r="A2" s="10" t="n">
        <v>1</v>
      </c>
      <c r="B2" s="11" t="inlineStr">
        <is>
          <t>勤業眾信聯合會計師事務所</t>
        </is>
      </c>
      <c r="C2" s="11" t="inlineStr">
        <is>
          <t>Deloitte 勤業眾信</t>
        </is>
      </c>
      <c r="D2" s="11" t="inlineStr">
        <is>
          <t>侯玉燡</t>
        </is>
      </c>
      <c r="E2" s="10" t="inlineStr">
        <is>
          <t>台北總所</t>
        </is>
      </c>
      <c r="F2" s="12" t="inlineStr">
        <is>
          <t>台北市信義區松仁路100號20樓</t>
        </is>
      </c>
      <c r="G2" s="12" t="inlineStr">
        <is>
          <t>台北市信義區松仁路100號20樓</t>
        </is>
      </c>
      <c r="H2" s="12" t="inlineStr"/>
      <c r="I2" s="10" t="inlineStr">
        <is>
          <t>110/06/09</t>
        </is>
      </c>
      <c r="J2" s="11" t="inlineStr">
        <is>
          <t>全聯會一字第1100233</t>
        </is>
      </c>
      <c r="K2" s="10" t="inlineStr">
        <is>
          <t>北市</t>
        </is>
      </c>
      <c r="L2" s="10" t="inlineStr">
        <is>
          <t>110/06/09</t>
        </is>
      </c>
      <c r="M2" s="10" t="inlineStr">
        <is>
          <t>4338</t>
        </is>
      </c>
      <c r="N2" s="10" t="inlineStr">
        <is>
          <t>2026-06-05</t>
        </is>
      </c>
      <c r="O2" s="11" t="inlineStr">
        <is>
          <t>https://www.roccpa.org.tw/member_search/more?id=3005F4E1-61C5-4100-8FF0-5BF2F667E759</t>
        </is>
      </c>
    </row>
    <row r="3">
      <c r="A3" s="10" t="n">
        <v>2</v>
      </c>
      <c r="B3" s="11" t="inlineStr">
        <is>
          <t>勤業眾信聯合會計師事務所</t>
        </is>
      </c>
      <c r="C3" s="11" t="inlineStr">
        <is>
          <t>Deloitte 勤業眾信</t>
        </is>
      </c>
      <c r="D3" s="11" t="inlineStr">
        <is>
          <t>劉力維</t>
        </is>
      </c>
      <c r="E3" s="10" t="inlineStr">
        <is>
          <t>台北總所</t>
        </is>
      </c>
      <c r="F3" s="12" t="inlineStr">
        <is>
          <t>台北市信義區松仁路100號20樓</t>
        </is>
      </c>
      <c r="G3" s="12" t="inlineStr">
        <is>
          <t>台北市信義區松仁路100號20樓</t>
        </is>
      </c>
      <c r="H3" s="12" t="inlineStr"/>
      <c r="I3" s="10" t="inlineStr">
        <is>
          <t>111/06/10</t>
        </is>
      </c>
      <c r="J3" s="11" t="inlineStr">
        <is>
          <t>全聯會一字第1110221</t>
        </is>
      </c>
      <c r="K3" s="10" t="inlineStr">
        <is>
          <t>北市</t>
        </is>
      </c>
      <c r="L3" s="10" t="inlineStr">
        <is>
          <t>111/06/10</t>
        </is>
      </c>
      <c r="M3" s="10" t="inlineStr">
        <is>
          <t>4433</t>
        </is>
      </c>
      <c r="N3" s="10" t="inlineStr">
        <is>
          <t>2026-06-05</t>
        </is>
      </c>
      <c r="O3" s="11" t="inlineStr">
        <is>
          <t>https://www.roccpa.org.tw/member_search/more?id=6423F685-3F47-4E0E-A3B1-8DCE4666C896</t>
        </is>
      </c>
    </row>
    <row r="4">
      <c r="A4" s="10" t="n">
        <v>3</v>
      </c>
      <c r="B4" s="11" t="inlineStr">
        <is>
          <t>勤業眾信聯合會計師事務所</t>
        </is>
      </c>
      <c r="C4" s="11" t="inlineStr">
        <is>
          <t>Deloitte 勤業眾信</t>
        </is>
      </c>
      <c r="D4" s="11" t="inlineStr">
        <is>
          <t>劉建良</t>
        </is>
      </c>
      <c r="E4" s="10" t="inlineStr">
        <is>
          <t>台北總所</t>
        </is>
      </c>
      <c r="F4" s="12" t="inlineStr">
        <is>
          <t>台北市信義區松仁路100號20樓</t>
        </is>
      </c>
      <c r="G4" s="12" t="inlineStr">
        <is>
          <t>台北市信義區松仁路100號20樓</t>
        </is>
      </c>
      <c r="H4" s="12" t="inlineStr"/>
      <c r="I4" s="10" t="inlineStr">
        <is>
          <t>100/05/25</t>
        </is>
      </c>
      <c r="J4" s="11" t="inlineStr">
        <is>
          <t>全聯會一字第1000207</t>
        </is>
      </c>
      <c r="K4" s="10" t="inlineStr">
        <is>
          <t>北市</t>
        </is>
      </c>
      <c r="L4" s="10" t="inlineStr">
        <is>
          <t>100/06/07</t>
        </is>
      </c>
      <c r="M4" s="10" t="inlineStr">
        <is>
          <t>3354</t>
        </is>
      </c>
      <c r="N4" s="10" t="inlineStr">
        <is>
          <t>2026-06-05</t>
        </is>
      </c>
      <c r="O4" s="11" t="inlineStr">
        <is>
          <t>https://www.roccpa.org.tw/member_search/more?id=80DA8D03-FCFC-42D8-A83E-38EA6AF532F3</t>
        </is>
      </c>
    </row>
    <row r="5">
      <c r="A5" s="10" t="n">
        <v>4</v>
      </c>
      <c r="B5" s="11" t="inlineStr">
        <is>
          <t>勤業眾信聯合會計師事務所</t>
        </is>
      </c>
      <c r="C5" s="11" t="inlineStr">
        <is>
          <t>Deloitte 勤業眾信</t>
        </is>
      </c>
      <c r="D5" s="11" t="inlineStr">
        <is>
          <t>劉怡青</t>
        </is>
      </c>
      <c r="E5" s="10" t="inlineStr">
        <is>
          <t>台北總所</t>
        </is>
      </c>
      <c r="F5" s="12" t="inlineStr">
        <is>
          <t>台北市信義區松仁路100號20樓</t>
        </is>
      </c>
      <c r="G5" s="12" t="inlineStr">
        <is>
          <t>台北市信義區松仁路100號20樓</t>
        </is>
      </c>
      <c r="H5" s="12" t="inlineStr"/>
      <c r="I5" s="10" t="inlineStr">
        <is>
          <t>110/06/09</t>
        </is>
      </c>
      <c r="J5" s="11" t="inlineStr">
        <is>
          <t>全聯會一字第1100225</t>
        </is>
      </c>
      <c r="K5" s="10" t="inlineStr">
        <is>
          <t>北市</t>
        </is>
      </c>
      <c r="L5" s="10" t="inlineStr">
        <is>
          <t>110/06/09</t>
        </is>
      </c>
      <c r="M5" s="10" t="inlineStr">
        <is>
          <t>4330</t>
        </is>
      </c>
      <c r="N5" s="10" t="inlineStr">
        <is>
          <t>2026-06-05</t>
        </is>
      </c>
      <c r="O5" s="11" t="inlineStr">
        <is>
          <t>https://www.roccpa.org.tw/member_search/more?id=D91CD5AA-C9AA-4CD0-86EF-DAA5002E83E3</t>
        </is>
      </c>
    </row>
    <row r="6">
      <c r="A6" s="10" t="n">
        <v>5</v>
      </c>
      <c r="B6" s="11" t="inlineStr">
        <is>
          <t>勤業眾信聯合會計師事務所</t>
        </is>
      </c>
      <c r="C6" s="11" t="inlineStr">
        <is>
          <t>Deloitte 勤業眾信</t>
        </is>
      </c>
      <c r="D6" s="11" t="inlineStr">
        <is>
          <t>劉振宇</t>
        </is>
      </c>
      <c r="E6" s="10" t="inlineStr">
        <is>
          <t>台北總所</t>
        </is>
      </c>
      <c r="F6" s="12" t="inlineStr">
        <is>
          <t>台北市信義區松仁路100號20樓</t>
        </is>
      </c>
      <c r="G6" s="12" t="inlineStr">
        <is>
          <t>台北市信義區松仁路100號20樓</t>
        </is>
      </c>
      <c r="H6" s="12" t="inlineStr"/>
      <c r="I6" s="10" t="inlineStr">
        <is>
          <t>115/06/15</t>
        </is>
      </c>
      <c r="J6" s="11" t="inlineStr">
        <is>
          <t>全聯會一字第1150000289號</t>
        </is>
      </c>
      <c r="K6" s="10" t="inlineStr">
        <is>
          <t>北市</t>
        </is>
      </c>
      <c r="L6" s="10" t="inlineStr">
        <is>
          <t>115/06/15</t>
        </is>
      </c>
      <c r="M6" s="10" t="inlineStr">
        <is>
          <t>4896</t>
        </is>
      </c>
      <c r="N6" s="10" t="inlineStr">
        <is>
          <t>2026-06-23</t>
        </is>
      </c>
      <c r="O6" s="11" t="inlineStr">
        <is>
          <t>https://www.roccpa.org.tw/member_search/more?id=f982591700b54d4b89e36c33ea8fc556</t>
        </is>
      </c>
    </row>
    <row r="7">
      <c r="A7" s="10" t="n">
        <v>6</v>
      </c>
      <c r="B7" s="11" t="inlineStr">
        <is>
          <t>勤業眾信聯合會計師事務所</t>
        </is>
      </c>
      <c r="C7" s="11" t="inlineStr">
        <is>
          <t>Deloitte 勤業眾信</t>
        </is>
      </c>
      <c r="D7" s="11" t="inlineStr">
        <is>
          <t>劉明賢</t>
        </is>
      </c>
      <c r="E7" s="10" t="inlineStr">
        <is>
          <t>台北總所</t>
        </is>
      </c>
      <c r="F7" s="12" t="inlineStr">
        <is>
          <t>台北市信義區松仁路100號20樓</t>
        </is>
      </c>
      <c r="G7" s="12" t="inlineStr">
        <is>
          <t>台北市信義區松仁路100號20樓</t>
        </is>
      </c>
      <c r="H7" s="12" t="inlineStr"/>
      <c r="I7" s="10" t="inlineStr">
        <is>
          <t>110/06/09</t>
        </is>
      </c>
      <c r="J7" s="11" t="inlineStr">
        <is>
          <t>全聯會一字第1100227</t>
        </is>
      </c>
      <c r="K7" s="10" t="inlineStr">
        <is>
          <t>北市</t>
        </is>
      </c>
      <c r="L7" s="10" t="inlineStr">
        <is>
          <t>110/06/09</t>
        </is>
      </c>
      <c r="M7" s="10" t="inlineStr">
        <is>
          <t>4332</t>
        </is>
      </c>
      <c r="N7" s="10" t="inlineStr">
        <is>
          <t>2026-06-05</t>
        </is>
      </c>
      <c r="O7" s="11" t="inlineStr">
        <is>
          <t>https://www.roccpa.org.tw/member_search/more?id=DC8924EE-20A9-41B4-9C6B-8A49FE225275</t>
        </is>
      </c>
    </row>
    <row r="8">
      <c r="A8" s="10" t="n">
        <v>7</v>
      </c>
      <c r="B8" s="11" t="inlineStr">
        <is>
          <t>勤業眾信聯合會計師事務所</t>
        </is>
      </c>
      <c r="C8" s="11" t="inlineStr">
        <is>
          <t>Deloitte 勤業眾信</t>
        </is>
      </c>
      <c r="D8" s="11" t="inlineStr">
        <is>
          <t>劉書琳</t>
        </is>
      </c>
      <c r="E8" s="10" t="inlineStr">
        <is>
          <t>台北總所</t>
        </is>
      </c>
      <c r="F8" s="12" t="inlineStr">
        <is>
          <t>台北市信義區松仁路100號20樓</t>
        </is>
      </c>
      <c r="G8" s="12" t="inlineStr">
        <is>
          <t>台北市信義區松仁路100號20樓</t>
        </is>
      </c>
      <c r="H8" s="12" t="inlineStr"/>
      <c r="I8" s="10" t="inlineStr">
        <is>
          <t>105/06/01</t>
        </is>
      </c>
      <c r="J8" s="11" t="inlineStr">
        <is>
          <t>全聯會一字第1050250</t>
        </is>
      </c>
      <c r="K8" s="10" t="inlineStr">
        <is>
          <t>北市</t>
        </is>
      </c>
      <c r="L8" s="10" t="inlineStr">
        <is>
          <t>105/06/13</t>
        </is>
      </c>
      <c r="M8" s="10" t="inlineStr">
        <is>
          <t>3937</t>
        </is>
      </c>
      <c r="N8" s="10" t="inlineStr">
        <is>
          <t>2026-06-05</t>
        </is>
      </c>
      <c r="O8" s="11" t="inlineStr">
        <is>
          <t>https://www.roccpa.org.tw/member_search/more?id=D11D583E-46D4-4239-993F-6658FF47F152</t>
        </is>
      </c>
    </row>
    <row r="9">
      <c r="A9" s="10" t="n">
        <v>8</v>
      </c>
      <c r="B9" s="11" t="inlineStr">
        <is>
          <t>勤業眾信聯合會計師事務所</t>
        </is>
      </c>
      <c r="C9" s="11" t="inlineStr">
        <is>
          <t>Deloitte 勤業眾信</t>
        </is>
      </c>
      <c r="D9" s="11" t="inlineStr">
        <is>
          <t>劉紋伶</t>
        </is>
      </c>
      <c r="E9" s="10" t="inlineStr">
        <is>
          <t>台北總所</t>
        </is>
      </c>
      <c r="F9" s="12" t="inlineStr">
        <is>
          <t>台北市信義區松仁路100號20樓</t>
        </is>
      </c>
      <c r="G9" s="12" t="inlineStr">
        <is>
          <t>台北市信義區松仁路100號20樓</t>
        </is>
      </c>
      <c r="H9" s="12" t="inlineStr"/>
      <c r="I9" s="10" t="inlineStr">
        <is>
          <t>113/06/19</t>
        </is>
      </c>
      <c r="J9" s="11" t="inlineStr">
        <is>
          <t>全聯會一字第1130000278號</t>
        </is>
      </c>
      <c r="K9" s="10" t="inlineStr">
        <is>
          <t>北市</t>
        </is>
      </c>
      <c r="L9" s="10" t="inlineStr">
        <is>
          <t>113/06/19</t>
        </is>
      </c>
      <c r="M9" s="10" t="inlineStr">
        <is>
          <t>4635</t>
        </is>
      </c>
      <c r="N9" s="10" t="inlineStr">
        <is>
          <t>2026-06-05</t>
        </is>
      </c>
      <c r="O9" s="11" t="inlineStr">
        <is>
          <t>https://www.roccpa.org.tw/member_search/more?id=ABC7DC62-E5AF-4C2F-ACE1-9D39DB9D0037</t>
        </is>
      </c>
    </row>
    <row r="10">
      <c r="A10" s="10" t="n">
        <v>9</v>
      </c>
      <c r="B10" s="11" t="inlineStr">
        <is>
          <t>勤業眾信聯合會計師事務所</t>
        </is>
      </c>
      <c r="C10" s="11" t="inlineStr">
        <is>
          <t>Deloitte 勤業眾信</t>
        </is>
      </c>
      <c r="D10" s="11" t="inlineStr">
        <is>
          <t>劉紋廷</t>
        </is>
      </c>
      <c r="E10" s="10" t="inlineStr">
        <is>
          <t>台北總所</t>
        </is>
      </c>
      <c r="F10" s="12" t="inlineStr">
        <is>
          <t>台北市信義區松仁路100號20樓</t>
        </is>
      </c>
      <c r="G10" s="12" t="inlineStr">
        <is>
          <t>台北市信義區松仁路100號20樓</t>
        </is>
      </c>
      <c r="H10" s="12" t="inlineStr"/>
      <c r="I10" s="10" t="inlineStr">
        <is>
          <t>115/06/15</t>
        </is>
      </c>
      <c r="J10" s="11" t="inlineStr">
        <is>
          <t>全聯會一字第1150000284號</t>
        </is>
      </c>
      <c r="K10" s="10" t="inlineStr">
        <is>
          <t>北市</t>
        </is>
      </c>
      <c r="L10" s="10" t="inlineStr">
        <is>
          <t>115/06/15</t>
        </is>
      </c>
      <c r="M10" s="10" t="inlineStr">
        <is>
          <t>4901</t>
        </is>
      </c>
      <c r="N10" s="10" t="inlineStr">
        <is>
          <t>2026-06-23</t>
        </is>
      </c>
      <c r="O10" s="11" t="inlineStr">
        <is>
          <t>https://www.roccpa.org.tw/member_search/more?id=827ae8718493401f9576d5ac9eb5be76</t>
        </is>
      </c>
    </row>
    <row r="11">
      <c r="A11" s="10" t="n">
        <v>10</v>
      </c>
      <c r="B11" s="11" t="inlineStr">
        <is>
          <t>勤業眾信聯合會計師事務所</t>
        </is>
      </c>
      <c r="C11" s="11" t="inlineStr">
        <is>
          <t>Deloitte 勤業眾信</t>
        </is>
      </c>
      <c r="D11" s="11" t="inlineStr">
        <is>
          <t>吳世宗</t>
        </is>
      </c>
      <c r="E11" s="10" t="inlineStr">
        <is>
          <t>台北總所</t>
        </is>
      </c>
      <c r="F11" s="12" t="inlineStr">
        <is>
          <t>台北市信義區松仁路100號20樓</t>
        </is>
      </c>
      <c r="G11" s="12" t="inlineStr">
        <is>
          <t>台北市信義區松仁路100號20樓</t>
        </is>
      </c>
      <c r="H11" s="12" t="inlineStr"/>
      <c r="I11" s="10" t="inlineStr">
        <is>
          <t>101/06/04</t>
        </is>
      </c>
      <c r="J11" s="11" t="inlineStr">
        <is>
          <t>全聯會一字第1010178</t>
        </is>
      </c>
      <c r="K11" s="10" t="inlineStr">
        <is>
          <t>北市</t>
        </is>
      </c>
      <c r="L11" s="10" t="inlineStr">
        <is>
          <t>101/06/14</t>
        </is>
      </c>
      <c r="M11" s="10" t="inlineStr">
        <is>
          <t>3470</t>
        </is>
      </c>
      <c r="N11" s="10" t="inlineStr">
        <is>
          <t>2026-06-05</t>
        </is>
      </c>
      <c r="O11" s="11" t="inlineStr">
        <is>
          <t>https://www.roccpa.org.tw/member_search/more?id=4BE1AABB-8682-4922-95B3-2FEEBBB5A0DD</t>
        </is>
      </c>
    </row>
    <row r="12">
      <c r="A12" s="10" t="n">
        <v>11</v>
      </c>
      <c r="B12" s="11" t="inlineStr">
        <is>
          <t>勤業眾信聯合會計師事務所</t>
        </is>
      </c>
      <c r="C12" s="11" t="inlineStr">
        <is>
          <t>Deloitte 勤業眾信</t>
        </is>
      </c>
      <c r="D12" s="11" t="inlineStr">
        <is>
          <t>吳怡君</t>
        </is>
      </c>
      <c r="E12" s="10" t="inlineStr">
        <is>
          <t>台北總所</t>
        </is>
      </c>
      <c r="F12" s="12" t="inlineStr">
        <is>
          <t>台北市信義區松仁路100號20樓</t>
        </is>
      </c>
      <c r="G12" s="12" t="inlineStr">
        <is>
          <t>台北市信義區松仁路100號20樓</t>
        </is>
      </c>
      <c r="H12" s="12" t="inlineStr"/>
      <c r="I12" s="10" t="inlineStr"/>
      <c r="J12" s="11" t="inlineStr"/>
      <c r="K12" s="10" t="inlineStr">
        <is>
          <t>北市</t>
        </is>
      </c>
      <c r="L12" s="10" t="inlineStr">
        <is>
          <t>093/06/10</t>
        </is>
      </c>
      <c r="M12" s="10" t="inlineStr">
        <is>
          <t>2661</t>
        </is>
      </c>
      <c r="N12" s="10" t="inlineStr">
        <is>
          <t>2026-06-05</t>
        </is>
      </c>
      <c r="O12" s="11" t="inlineStr">
        <is>
          <t>https://www.roccpa.org.tw/member_search/more?id=0DC99E99-351F-4F1D-BAED-551C3F32F43D</t>
        </is>
      </c>
    </row>
    <row r="13">
      <c r="A13" s="10" t="n">
        <v>12</v>
      </c>
      <c r="B13" s="11" t="inlineStr">
        <is>
          <t>勤業眾信聯合會計師事務所</t>
        </is>
      </c>
      <c r="C13" s="11" t="inlineStr">
        <is>
          <t>Deloitte 勤業眾信</t>
        </is>
      </c>
      <c r="D13" s="11" t="inlineStr">
        <is>
          <t>吳恪昌</t>
        </is>
      </c>
      <c r="E13" s="10" t="inlineStr">
        <is>
          <t>台北總所</t>
        </is>
      </c>
      <c r="F13" s="12" t="inlineStr">
        <is>
          <t>台北市信義區松仁路100號20樓</t>
        </is>
      </c>
      <c r="G13" s="12" t="inlineStr">
        <is>
          <t>台北市信義區松仁路100號20樓</t>
        </is>
      </c>
      <c r="H13" s="12" t="inlineStr"/>
      <c r="I13" s="10" t="inlineStr">
        <is>
          <t>100/05/25</t>
        </is>
      </c>
      <c r="J13" s="11" t="inlineStr">
        <is>
          <t>全聯會一字第1000210</t>
        </is>
      </c>
      <c r="K13" s="10" t="inlineStr">
        <is>
          <t>北市</t>
        </is>
      </c>
      <c r="L13" s="10" t="inlineStr">
        <is>
          <t>100/06/07</t>
        </is>
      </c>
      <c r="M13" s="10" t="inlineStr">
        <is>
          <t>3357</t>
        </is>
      </c>
      <c r="N13" s="10" t="inlineStr">
        <is>
          <t>2026-06-05</t>
        </is>
      </c>
      <c r="O13" s="11" t="inlineStr">
        <is>
          <t>https://www.roccpa.org.tw/member_search/more?id=F4BF39AB-F306-4487-AFFC-66B1626B79E4</t>
        </is>
      </c>
    </row>
    <row r="14">
      <c r="A14" s="10" t="n">
        <v>13</v>
      </c>
      <c r="B14" s="11" t="inlineStr">
        <is>
          <t>勤業眾信聯合會計師事務所</t>
        </is>
      </c>
      <c r="C14" s="11" t="inlineStr">
        <is>
          <t>Deloitte 勤業眾信</t>
        </is>
      </c>
      <c r="D14" s="11" t="inlineStr">
        <is>
          <t>吳美慧</t>
        </is>
      </c>
      <c r="E14" s="10" t="inlineStr">
        <is>
          <t>台北總所</t>
        </is>
      </c>
      <c r="F14" s="12" t="inlineStr">
        <is>
          <t>台北市信義區松仁路100號20樓</t>
        </is>
      </c>
      <c r="G14" s="12" t="inlineStr">
        <is>
          <t>台北市信義區松仁路100號20樓</t>
        </is>
      </c>
      <c r="H14" s="12" t="inlineStr"/>
      <c r="I14" s="10" t="inlineStr"/>
      <c r="J14" s="11" t="inlineStr"/>
      <c r="K14" s="10" t="inlineStr">
        <is>
          <t>北市</t>
        </is>
      </c>
      <c r="L14" s="10" t="inlineStr">
        <is>
          <t>089/11/13</t>
        </is>
      </c>
      <c r="M14" s="10" t="inlineStr">
        <is>
          <t>2301</t>
        </is>
      </c>
      <c r="N14" s="10" t="inlineStr">
        <is>
          <t>2026-06-05</t>
        </is>
      </c>
      <c r="O14" s="11" t="inlineStr">
        <is>
          <t>https://www.roccpa.org.tw/member_search/more?id=E1B90370-7D87-474A-9A11-D7F24C193C45</t>
        </is>
      </c>
    </row>
    <row r="15">
      <c r="A15" s="10" t="n">
        <v>14</v>
      </c>
      <c r="B15" s="11" t="inlineStr">
        <is>
          <t>勤業眾信聯合會計師事務所</t>
        </is>
      </c>
      <c r="C15" s="11" t="inlineStr">
        <is>
          <t>Deloitte 勤業眾信</t>
        </is>
      </c>
      <c r="D15" s="11" t="inlineStr">
        <is>
          <t>吳鈞麟</t>
        </is>
      </c>
      <c r="E15" s="10" t="inlineStr">
        <is>
          <t>台北總所</t>
        </is>
      </c>
      <c r="F15" s="12" t="inlineStr">
        <is>
          <t>台北市信義區松仁路100號20樓</t>
        </is>
      </c>
      <c r="G15" s="12" t="inlineStr">
        <is>
          <t>台北市信義區松仁路100號20樓</t>
        </is>
      </c>
      <c r="H15" s="12" t="inlineStr"/>
      <c r="I15" s="10" t="inlineStr">
        <is>
          <t>113/06/19</t>
        </is>
      </c>
      <c r="J15" s="11" t="inlineStr">
        <is>
          <t>全聯會一字第1130000280號</t>
        </is>
      </c>
      <c r="K15" s="10" t="inlineStr">
        <is>
          <t>北市</t>
        </is>
      </c>
      <c r="L15" s="10" t="inlineStr">
        <is>
          <t>113/06/19</t>
        </is>
      </c>
      <c r="M15" s="10" t="inlineStr">
        <is>
          <t>4637</t>
        </is>
      </c>
      <c r="N15" s="10" t="inlineStr">
        <is>
          <t>2026-06-05</t>
        </is>
      </c>
      <c r="O15" s="11" t="inlineStr">
        <is>
          <t>https://www.roccpa.org.tw/member_search/more?id=6BB7B9CF-C767-45A3-B123-8BD038D8916E</t>
        </is>
      </c>
    </row>
    <row r="16">
      <c r="A16" s="10" t="n">
        <v>15</v>
      </c>
      <c r="B16" s="11" t="inlineStr">
        <is>
          <t>勤業眾信聯合會計師事務所</t>
        </is>
      </c>
      <c r="C16" s="11" t="inlineStr">
        <is>
          <t>Deloitte 勤業眾信</t>
        </is>
      </c>
      <c r="D16" s="11" t="inlineStr">
        <is>
          <t>呂宜真</t>
        </is>
      </c>
      <c r="E16" s="10" t="inlineStr">
        <is>
          <t>台北總所</t>
        </is>
      </c>
      <c r="F16" s="12" t="inlineStr">
        <is>
          <t>台北市信義區松仁路100號20樓</t>
        </is>
      </c>
      <c r="G16" s="12" t="inlineStr">
        <is>
          <t>台北市信義區松仁路100號20樓</t>
        </is>
      </c>
      <c r="H16" s="12" t="inlineStr"/>
      <c r="I16" s="10" t="inlineStr">
        <is>
          <t>108/06/12</t>
        </is>
      </c>
      <c r="J16" s="11" t="inlineStr">
        <is>
          <t>全聯會一字第1080207</t>
        </is>
      </c>
      <c r="K16" s="10" t="inlineStr">
        <is>
          <t>北市</t>
        </is>
      </c>
      <c r="L16" s="10" t="inlineStr">
        <is>
          <t>108/06/12</t>
        </is>
      </c>
      <c r="M16" s="10" t="inlineStr">
        <is>
          <t>4171</t>
        </is>
      </c>
      <c r="N16" s="10" t="inlineStr">
        <is>
          <t>2026-06-05</t>
        </is>
      </c>
      <c r="O16" s="11" t="inlineStr">
        <is>
          <t>https://www.roccpa.org.tw/member_search/more?id=F1F0537D-0184-4092-A7C1-E45D63985B2D</t>
        </is>
      </c>
    </row>
    <row r="17">
      <c r="A17" s="10" t="n">
        <v>16</v>
      </c>
      <c r="B17" s="11" t="inlineStr">
        <is>
          <t>勤業眾信聯合會計師事務所</t>
        </is>
      </c>
      <c r="C17" s="11" t="inlineStr">
        <is>
          <t>Deloitte 勤業眾信</t>
        </is>
      </c>
      <c r="D17" s="11" t="inlineStr">
        <is>
          <t>呂相瑩</t>
        </is>
      </c>
      <c r="E17" s="10" t="inlineStr">
        <is>
          <t>台北總所</t>
        </is>
      </c>
      <c r="F17" s="12" t="inlineStr">
        <is>
          <t>台北市信義區松仁路100號20樓</t>
        </is>
      </c>
      <c r="G17" s="12" t="inlineStr">
        <is>
          <t>台北市信義區松仁路100號20樓</t>
        </is>
      </c>
      <c r="H17" s="12" t="inlineStr"/>
      <c r="I17" s="10" t="inlineStr">
        <is>
          <t>112/06/08</t>
        </is>
      </c>
      <c r="J17" s="11" t="inlineStr">
        <is>
          <t>全聯會一字第1120224</t>
        </is>
      </c>
      <c r="K17" s="10" t="inlineStr">
        <is>
          <t>北市</t>
        </is>
      </c>
      <c r="L17" s="10" t="inlineStr">
        <is>
          <t>112/06/08</t>
        </is>
      </c>
      <c r="M17" s="10" t="inlineStr">
        <is>
          <t>4530</t>
        </is>
      </c>
      <c r="N17" s="10" t="inlineStr">
        <is>
          <t>2026-06-05</t>
        </is>
      </c>
      <c r="O17" s="11" t="inlineStr">
        <is>
          <t>https://www.roccpa.org.tw/member_search/more?id=50490783-E4EC-4921-932A-A645450346E7</t>
        </is>
      </c>
    </row>
    <row r="18">
      <c r="A18" s="10" t="n">
        <v>17</v>
      </c>
      <c r="B18" s="11" t="inlineStr">
        <is>
          <t>勤業眾信聯合會計師事務所</t>
        </is>
      </c>
      <c r="C18" s="11" t="inlineStr">
        <is>
          <t>Deloitte 勤業眾信</t>
        </is>
      </c>
      <c r="D18" s="11" t="inlineStr">
        <is>
          <t>周仕杰</t>
        </is>
      </c>
      <c r="E18" s="10" t="inlineStr">
        <is>
          <t>台北總所</t>
        </is>
      </c>
      <c r="F18" s="12" t="inlineStr">
        <is>
          <t>台北市信義區松仁路100號20樓</t>
        </is>
      </c>
      <c r="G18" s="12" t="inlineStr">
        <is>
          <t>台北市信義區松仁路100號20樓</t>
        </is>
      </c>
      <c r="H18" s="12" t="inlineStr"/>
      <c r="I18" s="10" t="inlineStr">
        <is>
          <t>111/06/10</t>
        </is>
      </c>
      <c r="J18" s="11" t="inlineStr">
        <is>
          <t>全聯會一字第1110217</t>
        </is>
      </c>
      <c r="K18" s="10" t="inlineStr">
        <is>
          <t>北市</t>
        </is>
      </c>
      <c r="L18" s="10" t="inlineStr">
        <is>
          <t>111/06/10</t>
        </is>
      </c>
      <c r="M18" s="10" t="inlineStr">
        <is>
          <t>4429</t>
        </is>
      </c>
      <c r="N18" s="10" t="inlineStr">
        <is>
          <t>2026-06-05</t>
        </is>
      </c>
      <c r="O18" s="11" t="inlineStr">
        <is>
          <t>https://www.roccpa.org.tw/member_search/more?id=BB7E2A76-0446-4D87-A31D-0535B4848099</t>
        </is>
      </c>
    </row>
    <row r="19">
      <c r="A19" s="10" t="n">
        <v>18</v>
      </c>
      <c r="B19" s="11" t="inlineStr">
        <is>
          <t>勤業眾信聯合會計師事務所</t>
        </is>
      </c>
      <c r="C19" s="11" t="inlineStr">
        <is>
          <t>Deloitte 勤業眾信</t>
        </is>
      </c>
      <c r="D19" s="11" t="inlineStr">
        <is>
          <t>周以隆</t>
        </is>
      </c>
      <c r="E19" s="10" t="inlineStr">
        <is>
          <t>台北總所</t>
        </is>
      </c>
      <c r="F19" s="12" t="inlineStr">
        <is>
          <t>台北市信義區松仁路100號20樓</t>
        </is>
      </c>
      <c r="G19" s="12" t="inlineStr">
        <is>
          <t>台北市信義區松仁路100號20樓</t>
        </is>
      </c>
      <c r="H19" s="12" t="inlineStr"/>
      <c r="I19" s="10" t="inlineStr"/>
      <c r="J19" s="11" t="inlineStr"/>
      <c r="K19" s="10" t="inlineStr">
        <is>
          <t>北市</t>
        </is>
      </c>
      <c r="L19" s="10" t="inlineStr">
        <is>
          <t>093/06/10</t>
        </is>
      </c>
      <c r="M19" s="10" t="inlineStr">
        <is>
          <t>2654</t>
        </is>
      </c>
      <c r="N19" s="10" t="inlineStr">
        <is>
          <t>2026-06-05</t>
        </is>
      </c>
      <c r="O19" s="11" t="inlineStr">
        <is>
          <t>https://www.roccpa.org.tw/member_search/more?id=BD0A1037-DB4C-436E-95E7-55F395ABBD68</t>
        </is>
      </c>
    </row>
    <row r="20">
      <c r="A20" s="10" t="n">
        <v>19</v>
      </c>
      <c r="B20" s="11" t="inlineStr">
        <is>
          <t>勤業眾信聯合會計師事務所</t>
        </is>
      </c>
      <c r="C20" s="11" t="inlineStr">
        <is>
          <t>Deloitte 勤業眾信</t>
        </is>
      </c>
      <c r="D20" s="11" t="inlineStr">
        <is>
          <t>周正國</t>
        </is>
      </c>
      <c r="E20" s="10" t="inlineStr">
        <is>
          <t>台北總所</t>
        </is>
      </c>
      <c r="F20" s="12" t="inlineStr">
        <is>
          <t>台北市信義區松仁路100號20樓</t>
        </is>
      </c>
      <c r="G20" s="12" t="inlineStr">
        <is>
          <t>台北市信義區松仁路100號20樓</t>
        </is>
      </c>
      <c r="H20" s="12" t="inlineStr"/>
      <c r="I20" s="10" t="inlineStr">
        <is>
          <t>115/06/15</t>
        </is>
      </c>
      <c r="J20" s="11" t="inlineStr">
        <is>
          <t>全聯會一字第1150000285號</t>
        </is>
      </c>
      <c r="K20" s="10" t="inlineStr">
        <is>
          <t>北市</t>
        </is>
      </c>
      <c r="L20" s="10" t="inlineStr">
        <is>
          <t>115/06/15</t>
        </is>
      </c>
      <c r="M20" s="10" t="inlineStr">
        <is>
          <t>4892</t>
        </is>
      </c>
      <c r="N20" s="10" t="inlineStr">
        <is>
          <t>2026-06-23</t>
        </is>
      </c>
      <c r="O20" s="11" t="inlineStr">
        <is>
          <t>https://www.roccpa.org.tw/member_search/more?id=848f6c9fd2984866a3adab8e1355f8c1</t>
        </is>
      </c>
    </row>
    <row r="21">
      <c r="A21" s="10" t="n">
        <v>20</v>
      </c>
      <c r="B21" s="11" t="inlineStr">
        <is>
          <t>勤業眾信聯合會計師事務所</t>
        </is>
      </c>
      <c r="C21" s="11" t="inlineStr">
        <is>
          <t>Deloitte 勤業眾信</t>
        </is>
      </c>
      <c r="D21" s="11" t="inlineStr">
        <is>
          <t>姚勝雄</t>
        </is>
      </c>
      <c r="E21" s="10" t="inlineStr">
        <is>
          <t>台北總所</t>
        </is>
      </c>
      <c r="F21" s="12" t="inlineStr">
        <is>
          <t>台北市信義區松仁路100號20樓</t>
        </is>
      </c>
      <c r="G21" s="12" t="inlineStr">
        <is>
          <t>台北市信義區松仁路100號20樓</t>
        </is>
      </c>
      <c r="H21" s="12" t="inlineStr"/>
      <c r="I21" s="10" t="inlineStr">
        <is>
          <t>101/06/04</t>
        </is>
      </c>
      <c r="J21" s="11" t="inlineStr">
        <is>
          <t>全聯會一字第1010179</t>
        </is>
      </c>
      <c r="K21" s="10" t="inlineStr">
        <is>
          <t>北市</t>
        </is>
      </c>
      <c r="L21" s="10" t="inlineStr">
        <is>
          <t>101/06/14</t>
        </is>
      </c>
      <c r="M21" s="10" t="inlineStr">
        <is>
          <t>3471</t>
        </is>
      </c>
      <c r="N21" s="10" t="inlineStr">
        <is>
          <t>2026-06-05</t>
        </is>
      </c>
      <c r="O21" s="11" t="inlineStr">
        <is>
          <t>https://www.roccpa.org.tw/member_search/more?id=A622E5B3-327A-42A0-891F-354E8A10874F</t>
        </is>
      </c>
    </row>
    <row r="22">
      <c r="A22" s="10" t="n">
        <v>21</v>
      </c>
      <c r="B22" s="11" t="inlineStr">
        <is>
          <t>勤業眾信聯合會計師事務所</t>
        </is>
      </c>
      <c r="C22" s="11" t="inlineStr">
        <is>
          <t>Deloitte 勤業眾信</t>
        </is>
      </c>
      <c r="D22" s="11" t="inlineStr">
        <is>
          <t>婁朧允</t>
        </is>
      </c>
      <c r="E22" s="10" t="inlineStr">
        <is>
          <t>台北總所</t>
        </is>
      </c>
      <c r="F22" s="12" t="inlineStr">
        <is>
          <t>台北市信義區松仁路100號20樓</t>
        </is>
      </c>
      <c r="G22" s="12" t="inlineStr">
        <is>
          <t>台北市信義區松仁路100號20樓</t>
        </is>
      </c>
      <c r="H22" s="12" t="inlineStr"/>
      <c r="I22" s="10" t="inlineStr">
        <is>
          <t>113/06/19</t>
        </is>
      </c>
      <c r="J22" s="11" t="inlineStr">
        <is>
          <t>全聯會一字第1130000285號</t>
        </is>
      </c>
      <c r="K22" s="10" t="inlineStr">
        <is>
          <t>北市</t>
        </is>
      </c>
      <c r="L22" s="10" t="inlineStr">
        <is>
          <t>113/06/19</t>
        </is>
      </c>
      <c r="M22" s="10" t="inlineStr">
        <is>
          <t>4642</t>
        </is>
      </c>
      <c r="N22" s="10" t="inlineStr">
        <is>
          <t>2026-06-05</t>
        </is>
      </c>
      <c r="O22" s="11" t="inlineStr">
        <is>
          <t>https://www.roccpa.org.tw/member_search/more?id=9B7805BC-76BC-4F99-8A1A-5368B4B223B2</t>
        </is>
      </c>
    </row>
    <row r="23">
      <c r="A23" s="10" t="n">
        <v>22</v>
      </c>
      <c r="B23" s="11" t="inlineStr">
        <is>
          <t>勤業眾信聯合會計師事務所</t>
        </is>
      </c>
      <c r="C23" s="11" t="inlineStr">
        <is>
          <t>Deloitte 勤業眾信</t>
        </is>
      </c>
      <c r="D23" s="11" t="inlineStr">
        <is>
          <t>尤志峰</t>
        </is>
      </c>
      <c r="E23" s="10" t="inlineStr">
        <is>
          <t>台北總所</t>
        </is>
      </c>
      <c r="F23" s="12" t="inlineStr">
        <is>
          <t>台北市信義區松仁路100號20樓</t>
        </is>
      </c>
      <c r="G23" s="12" t="inlineStr">
        <is>
          <t>台北市信義區松仁路100號20樓</t>
        </is>
      </c>
      <c r="H23" s="12" t="inlineStr"/>
      <c r="I23" s="10" t="inlineStr">
        <is>
          <t>114/06/18</t>
        </is>
      </c>
      <c r="J23" s="11" t="inlineStr">
        <is>
          <t>全聯會一字第1140000240號</t>
        </is>
      </c>
      <c r="K23" s="10" t="inlineStr">
        <is>
          <t>北市</t>
        </is>
      </c>
      <c r="L23" s="10" t="inlineStr">
        <is>
          <t>114/06/18</t>
        </is>
      </c>
      <c r="M23" s="10" t="inlineStr">
        <is>
          <t>4724</t>
        </is>
      </c>
      <c r="N23" s="10" t="inlineStr">
        <is>
          <t>2026-06-05</t>
        </is>
      </c>
      <c r="O23" s="11" t="inlineStr">
        <is>
          <t>https://www.roccpa.org.tw/member_search/more?id=92D0AF05-9E8B-4FF9-9AD9-64F0108ABC8A</t>
        </is>
      </c>
    </row>
    <row r="24">
      <c r="A24" s="10" t="n">
        <v>23</v>
      </c>
      <c r="B24" s="11" t="inlineStr">
        <is>
          <t>勤業眾信聯合會計師事務所</t>
        </is>
      </c>
      <c r="C24" s="11" t="inlineStr">
        <is>
          <t>Deloitte 勤業眾信</t>
        </is>
      </c>
      <c r="D24" s="11" t="inlineStr">
        <is>
          <t>尤盟貴</t>
        </is>
      </c>
      <c r="E24" s="10" t="inlineStr">
        <is>
          <t>台北總所</t>
        </is>
      </c>
      <c r="F24" s="12" t="inlineStr">
        <is>
          <t>台北市信義區松仁路100號20樓</t>
        </is>
      </c>
      <c r="G24" s="12" t="inlineStr">
        <is>
          <t>台北市信義區松仁路100號20樓</t>
        </is>
      </c>
      <c r="H24" s="12" t="inlineStr"/>
      <c r="I24" s="10" t="inlineStr">
        <is>
          <t>113/09/02</t>
        </is>
      </c>
      <c r="J24" s="11" t="inlineStr">
        <is>
          <t>全聯會一字第1130000400號</t>
        </is>
      </c>
      <c r="K24" s="10" t="inlineStr">
        <is>
          <t>北市</t>
        </is>
      </c>
      <c r="L24" s="10" t="inlineStr">
        <is>
          <t>113/09/02</t>
        </is>
      </c>
      <c r="M24" s="10" t="inlineStr">
        <is>
          <t>4661</t>
        </is>
      </c>
      <c r="N24" s="10" t="inlineStr">
        <is>
          <t>2026-06-05</t>
        </is>
      </c>
      <c r="O24" s="11" t="inlineStr">
        <is>
          <t>https://www.roccpa.org.tw/member_search/more?id=D7283C06-29A6-4DE9-BD2A-C2654DC37AD2</t>
        </is>
      </c>
    </row>
    <row r="25">
      <c r="A25" s="10" t="n">
        <v>24</v>
      </c>
      <c r="B25" s="11" t="inlineStr">
        <is>
          <t>勤業眾信聯合會計師事務所</t>
        </is>
      </c>
      <c r="C25" s="11" t="inlineStr">
        <is>
          <t>Deloitte 勤業眾信</t>
        </is>
      </c>
      <c r="D25" s="11" t="inlineStr">
        <is>
          <t>康育榮</t>
        </is>
      </c>
      <c r="E25" s="10" t="inlineStr">
        <is>
          <t>台北總所</t>
        </is>
      </c>
      <c r="F25" s="12" t="inlineStr">
        <is>
          <t>台北市信義區松仁路100號20樓</t>
        </is>
      </c>
      <c r="G25" s="12" t="inlineStr">
        <is>
          <t>台北市信義區松仁路100號20樓</t>
        </is>
      </c>
      <c r="H25" s="12" t="inlineStr"/>
      <c r="I25" s="10" t="inlineStr">
        <is>
          <t>115/06/15</t>
        </is>
      </c>
      <c r="J25" s="11" t="inlineStr">
        <is>
          <t>全聯會一字第1150000290號</t>
        </is>
      </c>
      <c r="K25" s="10" t="inlineStr">
        <is>
          <t>北市</t>
        </is>
      </c>
      <c r="L25" s="10" t="inlineStr">
        <is>
          <t>115/06/15</t>
        </is>
      </c>
      <c r="M25" s="10" t="inlineStr">
        <is>
          <t>4897</t>
        </is>
      </c>
      <c r="N25" s="10" t="inlineStr">
        <is>
          <t>2026-06-23</t>
        </is>
      </c>
      <c r="O25" s="11" t="inlineStr">
        <is>
          <t>https://www.roccpa.org.tw/member_search/more?id=ee3432266cbd4647b4c8ae07e532fd4c</t>
        </is>
      </c>
    </row>
    <row r="26">
      <c r="A26" s="10" t="n">
        <v>25</v>
      </c>
      <c r="B26" s="11" t="inlineStr">
        <is>
          <t>勤業眾信聯合會計師事務所</t>
        </is>
      </c>
      <c r="C26" s="11" t="inlineStr">
        <is>
          <t>Deloitte 勤業眾信</t>
        </is>
      </c>
      <c r="D26" s="11" t="inlineStr">
        <is>
          <t>廖哲莉</t>
        </is>
      </c>
      <c r="E26" s="10" t="inlineStr">
        <is>
          <t>台北總所</t>
        </is>
      </c>
      <c r="F26" s="12" t="inlineStr">
        <is>
          <t>台北市信義區松仁路100號20樓</t>
        </is>
      </c>
      <c r="G26" s="12" t="inlineStr">
        <is>
          <t>台北市信義區松仁路100號20樓</t>
        </is>
      </c>
      <c r="H26" s="12" t="inlineStr"/>
      <c r="I26" s="10" t="inlineStr"/>
      <c r="J26" s="11" t="inlineStr"/>
      <c r="K26" s="10" t="inlineStr">
        <is>
          <t>北市</t>
        </is>
      </c>
      <c r="L26" s="10" t="inlineStr">
        <is>
          <t>089/11/13</t>
        </is>
      </c>
      <c r="M26" s="10" t="inlineStr">
        <is>
          <t>2298</t>
        </is>
      </c>
      <c r="N26" s="10" t="inlineStr">
        <is>
          <t>2026-06-05</t>
        </is>
      </c>
      <c r="O26" s="11" t="inlineStr">
        <is>
          <t>https://www.roccpa.org.tw/member_search/more?id=68424988-47BA-499B-8D89-682EE399427A</t>
        </is>
      </c>
    </row>
    <row r="27">
      <c r="A27" s="10" t="n">
        <v>26</v>
      </c>
      <c r="B27" s="11" t="inlineStr">
        <is>
          <t>勤業眾信聯合會計師事務所</t>
        </is>
      </c>
      <c r="C27" s="11" t="inlineStr">
        <is>
          <t>Deloitte 勤業眾信</t>
        </is>
      </c>
      <c r="D27" s="11" t="inlineStr">
        <is>
          <t>廖婉怡</t>
        </is>
      </c>
      <c r="E27" s="10" t="inlineStr">
        <is>
          <t>台北總所</t>
        </is>
      </c>
      <c r="F27" s="12" t="inlineStr">
        <is>
          <t>台北市信義區松仁路100號20樓</t>
        </is>
      </c>
      <c r="G27" s="12" t="inlineStr">
        <is>
          <t>台北市信義區松仁路100號20樓</t>
        </is>
      </c>
      <c r="H27" s="12" t="inlineStr"/>
      <c r="I27" s="10" t="inlineStr">
        <is>
          <t>101/06/04</t>
        </is>
      </c>
      <c r="J27" s="11" t="inlineStr">
        <is>
          <t>全聯會一字第1010177</t>
        </is>
      </c>
      <c r="K27" s="10" t="inlineStr">
        <is>
          <t>北市</t>
        </is>
      </c>
      <c r="L27" s="10" t="inlineStr">
        <is>
          <t>101/06/14</t>
        </is>
      </c>
      <c r="M27" s="10" t="inlineStr">
        <is>
          <t>3469</t>
        </is>
      </c>
      <c r="N27" s="10" t="inlineStr">
        <is>
          <t>2026-06-05</t>
        </is>
      </c>
      <c r="O27" s="11" t="inlineStr">
        <is>
          <t>https://www.roccpa.org.tw/member_search/more?id=248714FA-65F7-4D17-8EBB-9051D13446E7</t>
        </is>
      </c>
    </row>
    <row r="28">
      <c r="A28" s="10" t="n">
        <v>27</v>
      </c>
      <c r="B28" s="11" t="inlineStr">
        <is>
          <t>勤業眾信聯合會計師事務所</t>
        </is>
      </c>
      <c r="C28" s="11" t="inlineStr">
        <is>
          <t>Deloitte 勤業眾信</t>
        </is>
      </c>
      <c r="D28" s="11" t="inlineStr">
        <is>
          <t>廖家琪</t>
        </is>
      </c>
      <c r="E28" s="10" t="inlineStr">
        <is>
          <t>台北總所</t>
        </is>
      </c>
      <c r="F28" s="12" t="inlineStr">
        <is>
          <t>台北市信義區松仁路100號20樓</t>
        </is>
      </c>
      <c r="G28" s="12" t="inlineStr">
        <is>
          <t>台北市信義區松仁路100號20樓</t>
        </is>
      </c>
      <c r="H28" s="12" t="inlineStr"/>
      <c r="I28" s="10" t="inlineStr">
        <is>
          <t>109/06/10</t>
        </is>
      </c>
      <c r="J28" s="11" t="inlineStr">
        <is>
          <t>全聯會一字第1090221</t>
        </is>
      </c>
      <c r="K28" s="10" t="inlineStr">
        <is>
          <t>北市</t>
        </is>
      </c>
      <c r="L28" s="10" t="inlineStr">
        <is>
          <t>109/06/10</t>
        </is>
      </c>
      <c r="M28" s="10" t="inlineStr">
        <is>
          <t>4260</t>
        </is>
      </c>
      <c r="N28" s="10" t="inlineStr">
        <is>
          <t>2026-06-05</t>
        </is>
      </c>
      <c r="O28" s="11" t="inlineStr">
        <is>
          <t>https://www.roccpa.org.tw/member_search/more?id=0C2E6CB4-6908-48A4-B8AF-62FF19427403</t>
        </is>
      </c>
    </row>
    <row r="29">
      <c r="A29" s="10" t="n">
        <v>28</v>
      </c>
      <c r="B29" s="11" t="inlineStr">
        <is>
          <t>勤業眾信聯合會計師事務所</t>
        </is>
      </c>
      <c r="C29" s="11" t="inlineStr">
        <is>
          <t>Deloitte 勤業眾信</t>
        </is>
      </c>
      <c r="D29" s="11" t="inlineStr">
        <is>
          <t>張哲彥</t>
        </is>
      </c>
      <c r="E29" s="10" t="inlineStr">
        <is>
          <t>台北總所</t>
        </is>
      </c>
      <c r="F29" s="12" t="inlineStr">
        <is>
          <t>台北市信義區松仁路100號20樓</t>
        </is>
      </c>
      <c r="G29" s="12" t="inlineStr">
        <is>
          <t>台北市信義區松仁路100號20樓</t>
        </is>
      </c>
      <c r="H29" s="12" t="inlineStr"/>
      <c r="I29" s="10" t="inlineStr">
        <is>
          <t>115/06/15</t>
        </is>
      </c>
      <c r="J29" s="11" t="inlineStr">
        <is>
          <t>全聯會一字第1150000293號</t>
        </is>
      </c>
      <c r="K29" s="10" t="inlineStr">
        <is>
          <t>北市</t>
        </is>
      </c>
      <c r="L29" s="10" t="inlineStr">
        <is>
          <t>115/06/15</t>
        </is>
      </c>
      <c r="M29" s="10" t="inlineStr">
        <is>
          <t>4900</t>
        </is>
      </c>
      <c r="N29" s="10" t="inlineStr">
        <is>
          <t>2026-06-23</t>
        </is>
      </c>
      <c r="O29" s="11" t="inlineStr">
        <is>
          <t>https://www.roccpa.org.tw/member_search/more?id=244567f33ca0441188fcb0095e10c1b5</t>
        </is>
      </c>
    </row>
    <row r="30">
      <c r="A30" s="10" t="n">
        <v>29</v>
      </c>
      <c r="B30" s="11" t="inlineStr">
        <is>
          <t>勤業眾信聯合會計師事務所</t>
        </is>
      </c>
      <c r="C30" s="11" t="inlineStr">
        <is>
          <t>Deloitte 勤業眾信</t>
        </is>
      </c>
      <c r="D30" s="11" t="inlineStr">
        <is>
          <t>張嘉銘</t>
        </is>
      </c>
      <c r="E30" s="10" t="inlineStr">
        <is>
          <t>台北總所</t>
        </is>
      </c>
      <c r="F30" s="12" t="inlineStr">
        <is>
          <t>台北市信義區松仁路100號20樓</t>
        </is>
      </c>
      <c r="G30" s="12" t="inlineStr">
        <is>
          <t>台北市信義區松仁路100號20樓</t>
        </is>
      </c>
      <c r="H30" s="12" t="inlineStr"/>
      <c r="I30" s="10" t="inlineStr">
        <is>
          <t>114/06/18</t>
        </is>
      </c>
      <c r="J30" s="11" t="inlineStr">
        <is>
          <t>全聯會一字第1140000241號</t>
        </is>
      </c>
      <c r="K30" s="10" t="inlineStr">
        <is>
          <t>北市</t>
        </is>
      </c>
      <c r="L30" s="10" t="inlineStr">
        <is>
          <t>114/06/18</t>
        </is>
      </c>
      <c r="M30" s="10" t="inlineStr">
        <is>
          <t>4725</t>
        </is>
      </c>
      <c r="N30" s="10" t="inlineStr">
        <is>
          <t>2026-06-05</t>
        </is>
      </c>
      <c r="O30" s="11" t="inlineStr">
        <is>
          <t>https://www.roccpa.org.tw/member_search/more?id=B66CD394-A7E3-44D9-AEEF-5397956F2629</t>
        </is>
      </c>
    </row>
    <row r="31">
      <c r="A31" s="10" t="n">
        <v>30</v>
      </c>
      <c r="B31" s="11" t="inlineStr">
        <is>
          <t>勤業眾信聯合會計師事務所</t>
        </is>
      </c>
      <c r="C31" s="11" t="inlineStr">
        <is>
          <t>Deloitte 勤業眾信</t>
        </is>
      </c>
      <c r="D31" s="11" t="inlineStr">
        <is>
          <t>張宗銘</t>
        </is>
      </c>
      <c r="E31" s="10" t="inlineStr">
        <is>
          <t>台北總所</t>
        </is>
      </c>
      <c r="F31" s="12" t="inlineStr">
        <is>
          <t>台北市信義區松仁路100號20樓</t>
        </is>
      </c>
      <c r="G31" s="12" t="inlineStr">
        <is>
          <t>台北市信義區松仁路100號20樓</t>
        </is>
      </c>
      <c r="H31" s="12" t="inlineStr"/>
      <c r="I31" s="10" t="inlineStr">
        <is>
          <t>099/05/25</t>
        </is>
      </c>
      <c r="J31" s="11" t="inlineStr">
        <is>
          <t>全聯會一字第09900258</t>
        </is>
      </c>
      <c r="K31" s="10" t="inlineStr">
        <is>
          <t>北市</t>
        </is>
      </c>
      <c r="L31" s="10" t="inlineStr">
        <is>
          <t>099/06/04</t>
        </is>
      </c>
      <c r="M31" s="10" t="inlineStr">
        <is>
          <t>3231</t>
        </is>
      </c>
      <c r="N31" s="10" t="inlineStr">
        <is>
          <t>2026-06-05</t>
        </is>
      </c>
      <c r="O31" s="11" t="inlineStr">
        <is>
          <t>https://www.roccpa.org.tw/member_search/more?id=CAA6F87C-AD39-469D-9486-D6863E4F543E</t>
        </is>
      </c>
    </row>
    <row r="32">
      <c r="A32" s="10" t="n">
        <v>31</v>
      </c>
      <c r="B32" s="11" t="inlineStr">
        <is>
          <t>勤業眾信聯合會計師事務所</t>
        </is>
      </c>
      <c r="C32" s="11" t="inlineStr">
        <is>
          <t>Deloitte 勤業眾信</t>
        </is>
      </c>
      <c r="D32" s="11" t="inlineStr">
        <is>
          <t>張正修</t>
        </is>
      </c>
      <c r="E32" s="10" t="inlineStr">
        <is>
          <t>台北總所</t>
        </is>
      </c>
      <c r="F32" s="12" t="inlineStr">
        <is>
          <t>台北市信義區松仁路100號20樓</t>
        </is>
      </c>
      <c r="G32" s="12" t="inlineStr">
        <is>
          <t>台北市信義區松仁路100號20樓</t>
        </is>
      </c>
      <c r="H32" s="12" t="inlineStr"/>
      <c r="I32" s="10" t="inlineStr">
        <is>
          <t>112/06/08</t>
        </is>
      </c>
      <c r="J32" s="11" t="inlineStr">
        <is>
          <t>全聯會一字第1120220</t>
        </is>
      </c>
      <c r="K32" s="10" t="inlineStr">
        <is>
          <t>北市</t>
        </is>
      </c>
      <c r="L32" s="10" t="inlineStr">
        <is>
          <t>112/06/08</t>
        </is>
      </c>
      <c r="M32" s="10" t="inlineStr">
        <is>
          <t>4526</t>
        </is>
      </c>
      <c r="N32" s="10" t="inlineStr">
        <is>
          <t>2026-06-05</t>
        </is>
      </c>
      <c r="O32" s="11" t="inlineStr">
        <is>
          <t>https://www.roccpa.org.tw/member_search/more?id=99645D90-9683-487D-84D5-B799C9A274E2</t>
        </is>
      </c>
    </row>
    <row r="33">
      <c r="A33" s="10" t="n">
        <v>32</v>
      </c>
      <c r="B33" s="11" t="inlineStr">
        <is>
          <t>勤業眾信聯合會計師事務所</t>
        </is>
      </c>
      <c r="C33" s="11" t="inlineStr">
        <is>
          <t>Deloitte 勤業眾信</t>
        </is>
      </c>
      <c r="D33" s="11" t="inlineStr">
        <is>
          <t>張淳儀</t>
        </is>
      </c>
      <c r="E33" s="10" t="inlineStr">
        <is>
          <t>台北總所</t>
        </is>
      </c>
      <c r="F33" s="12" t="inlineStr">
        <is>
          <t>台北市信義區松仁路100號20樓</t>
        </is>
      </c>
      <c r="G33" s="12" t="inlineStr">
        <is>
          <t>台北市信義區松仁路100號20樓</t>
        </is>
      </c>
      <c r="H33" s="12" t="inlineStr"/>
      <c r="I33" s="10" t="inlineStr"/>
      <c r="J33" s="11" t="inlineStr"/>
      <c r="K33" s="10" t="inlineStr">
        <is>
          <t>北市</t>
        </is>
      </c>
      <c r="L33" s="10" t="inlineStr">
        <is>
          <t>088/01/29</t>
        </is>
      </c>
      <c r="M33" s="10" t="inlineStr">
        <is>
          <t>2129</t>
        </is>
      </c>
      <c r="N33" s="10" t="inlineStr">
        <is>
          <t>2026-06-05</t>
        </is>
      </c>
      <c r="O33" s="11" t="inlineStr">
        <is>
          <t>https://www.roccpa.org.tw/member_search/more?id=633F0845-4E38-4090-AC51-B1EFB13AA945</t>
        </is>
      </c>
    </row>
    <row r="34">
      <c r="A34" s="10" t="n">
        <v>33</v>
      </c>
      <c r="B34" s="11" t="inlineStr">
        <is>
          <t>勤業眾信聯合會計師事務所</t>
        </is>
      </c>
      <c r="C34" s="11" t="inlineStr">
        <is>
          <t>Deloitte 勤業眾信</t>
        </is>
      </c>
      <c r="D34" s="11" t="inlineStr">
        <is>
          <t>張瑞峰</t>
        </is>
      </c>
      <c r="E34" s="10" t="inlineStr">
        <is>
          <t>台北總所</t>
        </is>
      </c>
      <c r="F34" s="12" t="inlineStr">
        <is>
          <t>台北市信義區松仁路100號20樓</t>
        </is>
      </c>
      <c r="G34" s="12" t="inlineStr">
        <is>
          <t>台北市信義區松仁路100號20樓</t>
        </is>
      </c>
      <c r="H34" s="12" t="inlineStr"/>
      <c r="I34" s="10" t="inlineStr">
        <is>
          <t>109/06/10</t>
        </is>
      </c>
      <c r="J34" s="11" t="inlineStr">
        <is>
          <t>全聯會一字第1090214</t>
        </is>
      </c>
      <c r="K34" s="10" t="inlineStr">
        <is>
          <t>北市</t>
        </is>
      </c>
      <c r="L34" s="10" t="inlineStr">
        <is>
          <t>109/06/10</t>
        </is>
      </c>
      <c r="M34" s="10" t="inlineStr">
        <is>
          <t>4253</t>
        </is>
      </c>
      <c r="N34" s="10" t="inlineStr">
        <is>
          <t>2026-06-05</t>
        </is>
      </c>
      <c r="O34" s="11" t="inlineStr">
        <is>
          <t>https://www.roccpa.org.tw/member_search/more?id=F0292D2E-E20E-431F-BA8A-5077AD9E089B</t>
        </is>
      </c>
    </row>
    <row r="35">
      <c r="A35" s="10" t="n">
        <v>34</v>
      </c>
      <c r="B35" s="11" t="inlineStr">
        <is>
          <t>勤業眾信聯合會計師事務所</t>
        </is>
      </c>
      <c r="C35" s="11" t="inlineStr">
        <is>
          <t>Deloitte 勤業眾信</t>
        </is>
      </c>
      <c r="D35" s="11" t="inlineStr">
        <is>
          <t>張美卿</t>
        </is>
      </c>
      <c r="E35" s="10" t="inlineStr">
        <is>
          <t>台北總所</t>
        </is>
      </c>
      <c r="F35" s="12" t="inlineStr">
        <is>
          <t>台北市信義區松仁路100號20樓</t>
        </is>
      </c>
      <c r="G35" s="12" t="inlineStr">
        <is>
          <t>台北市信義區松仁路100號20樓</t>
        </is>
      </c>
      <c r="H35" s="12" t="inlineStr"/>
      <c r="I35" s="10" t="inlineStr">
        <is>
          <t>115/06/15</t>
        </is>
      </c>
      <c r="J35" s="11" t="inlineStr">
        <is>
          <t>全聯會一字第1150000287號</t>
        </is>
      </c>
      <c r="K35" s="10" t="inlineStr">
        <is>
          <t>北市</t>
        </is>
      </c>
      <c r="L35" s="10" t="inlineStr">
        <is>
          <t>115/06/15</t>
        </is>
      </c>
      <c r="M35" s="10" t="inlineStr">
        <is>
          <t>4894</t>
        </is>
      </c>
      <c r="N35" s="10" t="inlineStr">
        <is>
          <t>2026-06-23</t>
        </is>
      </c>
      <c r="O35" s="11" t="inlineStr">
        <is>
          <t>https://www.roccpa.org.tw/member_search/more?id=a778492fdcbf4b7596fd9113b85e0c46</t>
        </is>
      </c>
    </row>
    <row r="36">
      <c r="A36" s="10" t="n">
        <v>35</v>
      </c>
      <c r="B36" s="11" t="inlineStr">
        <is>
          <t>勤業眾信聯合會計師事務所</t>
        </is>
      </c>
      <c r="C36" s="11" t="inlineStr">
        <is>
          <t>Deloitte 勤業眾信</t>
        </is>
      </c>
      <c r="D36" s="11" t="inlineStr">
        <is>
          <t>張耿禧</t>
        </is>
      </c>
      <c r="E36" s="10" t="inlineStr">
        <is>
          <t>台北總所</t>
        </is>
      </c>
      <c r="F36" s="12" t="inlineStr">
        <is>
          <t>台北市信義區松仁路100號20樓</t>
        </is>
      </c>
      <c r="G36" s="12" t="inlineStr">
        <is>
          <t>台北市信義區松仁路100號20樓</t>
        </is>
      </c>
      <c r="H36" s="12" t="inlineStr"/>
      <c r="I36" s="10" t="inlineStr"/>
      <c r="J36" s="11" t="inlineStr"/>
      <c r="K36" s="10" t="inlineStr">
        <is>
          <t>北市</t>
        </is>
      </c>
      <c r="L36" s="10" t="inlineStr">
        <is>
          <t>090/01/10</t>
        </is>
      </c>
      <c r="M36" s="10" t="inlineStr">
        <is>
          <t>2333</t>
        </is>
      </c>
      <c r="N36" s="10" t="inlineStr">
        <is>
          <t>2026-06-05</t>
        </is>
      </c>
      <c r="O36" s="11" t="inlineStr">
        <is>
          <t>https://www.roccpa.org.tw/member_search/more?id=CFDB2A00-A1C4-432F-8693-4343FC0E35F0</t>
        </is>
      </c>
    </row>
    <row r="37">
      <c r="A37" s="10" t="n">
        <v>36</v>
      </c>
      <c r="B37" s="11" t="inlineStr">
        <is>
          <t>勤業眾信聯合會計師事務所</t>
        </is>
      </c>
      <c r="C37" s="11" t="inlineStr">
        <is>
          <t>Deloitte 勤業眾信</t>
        </is>
      </c>
      <c r="D37" s="11" t="inlineStr">
        <is>
          <t>張至誼</t>
        </is>
      </c>
      <c r="E37" s="10" t="inlineStr">
        <is>
          <t>台北總所</t>
        </is>
      </c>
      <c r="F37" s="12" t="inlineStr">
        <is>
          <t>台北市信義區松仁路100號20樓</t>
        </is>
      </c>
      <c r="G37" s="12" t="inlineStr">
        <is>
          <t>台北市信義區松仁路100號20樓</t>
        </is>
      </c>
      <c r="H37" s="12" t="inlineStr"/>
      <c r="I37" s="10" t="inlineStr">
        <is>
          <t>109/03/02</t>
        </is>
      </c>
      <c r="J37" s="11" t="inlineStr">
        <is>
          <t>全聯會一字第1090088</t>
        </is>
      </c>
      <c r="K37" s="10" t="inlineStr">
        <is>
          <t>北市</t>
        </is>
      </c>
      <c r="L37" s="10" t="inlineStr">
        <is>
          <t>109/03/02</t>
        </is>
      </c>
      <c r="M37" s="10" t="inlineStr">
        <is>
          <t>4227</t>
        </is>
      </c>
      <c r="N37" s="10" t="inlineStr">
        <is>
          <t>2026-06-05</t>
        </is>
      </c>
      <c r="O37" s="11" t="inlineStr">
        <is>
          <t>https://www.roccpa.org.tw/member_search/more?id=2E125208-F858-4843-8CAD-199D8C7C8927</t>
        </is>
      </c>
    </row>
    <row r="38">
      <c r="A38" s="10" t="n">
        <v>37</v>
      </c>
      <c r="B38" s="11" t="inlineStr">
        <is>
          <t>勤業眾信聯合會計師事務所</t>
        </is>
      </c>
      <c r="C38" s="11" t="inlineStr">
        <is>
          <t>Deloitte 勤業眾信</t>
        </is>
      </c>
      <c r="D38" s="11" t="inlineStr">
        <is>
          <t>張雅涵</t>
        </is>
      </c>
      <c r="E38" s="10" t="inlineStr">
        <is>
          <t>台北總所</t>
        </is>
      </c>
      <c r="F38" s="12" t="inlineStr">
        <is>
          <t>台北市信義區松仁路100號20樓</t>
        </is>
      </c>
      <c r="G38" s="12" t="inlineStr">
        <is>
          <t>台北市信義區松仁路100號20樓</t>
        </is>
      </c>
      <c r="H38" s="12" t="inlineStr"/>
      <c r="I38" s="10" t="inlineStr">
        <is>
          <t>115/06/15</t>
        </is>
      </c>
      <c r="J38" s="11" t="inlineStr">
        <is>
          <t>全聯會一字第1150000286號</t>
        </is>
      </c>
      <c r="K38" s="10" t="inlineStr">
        <is>
          <t>北市</t>
        </is>
      </c>
      <c r="L38" s="10" t="inlineStr">
        <is>
          <t>115/06/15</t>
        </is>
      </c>
      <c r="M38" s="10" t="inlineStr">
        <is>
          <t>4893</t>
        </is>
      </c>
      <c r="N38" s="10" t="inlineStr">
        <is>
          <t>2026-06-23</t>
        </is>
      </c>
      <c r="O38" s="11" t="inlineStr">
        <is>
          <t>https://www.roccpa.org.tw/member_search/more?id=5c684f9c694145659b6a6faa211ca641</t>
        </is>
      </c>
    </row>
    <row r="39">
      <c r="A39" s="10" t="n">
        <v>38</v>
      </c>
      <c r="B39" s="11" t="inlineStr">
        <is>
          <t>勤業眾信聯合會計師事務所</t>
        </is>
      </c>
      <c r="C39" s="11" t="inlineStr">
        <is>
          <t>Deloitte 勤業眾信</t>
        </is>
      </c>
      <c r="D39" s="11" t="inlineStr">
        <is>
          <t>張青霞</t>
        </is>
      </c>
      <c r="E39" s="10" t="inlineStr">
        <is>
          <t>台北總所</t>
        </is>
      </c>
      <c r="F39" s="12" t="inlineStr">
        <is>
          <t>台北市信義區松仁路100號20樓</t>
        </is>
      </c>
      <c r="G39" s="12" t="inlineStr">
        <is>
          <t>台北市信義區松仁路100號20樓</t>
        </is>
      </c>
      <c r="H39" s="12" t="inlineStr"/>
      <c r="I39" s="10" t="inlineStr">
        <is>
          <t>109/06/10</t>
        </is>
      </c>
      <c r="J39" s="11" t="inlineStr">
        <is>
          <t>全聯會一字第1090212</t>
        </is>
      </c>
      <c r="K39" s="10" t="inlineStr">
        <is>
          <t>北市</t>
        </is>
      </c>
      <c r="L39" s="10" t="inlineStr">
        <is>
          <t>109/06/10</t>
        </is>
      </c>
      <c r="M39" s="10" t="inlineStr">
        <is>
          <t>4251</t>
        </is>
      </c>
      <c r="N39" s="10" t="inlineStr">
        <is>
          <t>2026-06-05</t>
        </is>
      </c>
      <c r="O39" s="11" t="inlineStr">
        <is>
          <t>https://www.roccpa.org.tw/member_search/more?id=36536DF6-1647-428C-A2C4-830E777C6DFE</t>
        </is>
      </c>
    </row>
    <row r="40">
      <c r="A40" s="10" t="n">
        <v>39</v>
      </c>
      <c r="B40" s="11" t="inlineStr">
        <is>
          <t>勤業眾信聯合會計師事務所</t>
        </is>
      </c>
      <c r="C40" s="11" t="inlineStr">
        <is>
          <t>Deloitte 勤業眾信</t>
        </is>
      </c>
      <c r="D40" s="11" t="inlineStr">
        <is>
          <t>張麗君</t>
        </is>
      </c>
      <c r="E40" s="10" t="inlineStr">
        <is>
          <t>台北總所</t>
        </is>
      </c>
      <c r="F40" s="12" t="inlineStr">
        <is>
          <t>台北市信義區松仁路100號20樓</t>
        </is>
      </c>
      <c r="G40" s="12" t="inlineStr">
        <is>
          <t>台北市信義區松仁路100號20樓</t>
        </is>
      </c>
      <c r="H40" s="12" t="inlineStr"/>
      <c r="I40" s="10" t="inlineStr">
        <is>
          <t>110/06/09</t>
        </is>
      </c>
      <c r="J40" s="11" t="inlineStr">
        <is>
          <t>全聯會一字第1100232</t>
        </is>
      </c>
      <c r="K40" s="10" t="inlineStr">
        <is>
          <t>北市</t>
        </is>
      </c>
      <c r="L40" s="10" t="inlineStr">
        <is>
          <t>110/06/09</t>
        </is>
      </c>
      <c r="M40" s="10" t="inlineStr">
        <is>
          <t>4337</t>
        </is>
      </c>
      <c r="N40" s="10" t="inlineStr">
        <is>
          <t>2026-06-05</t>
        </is>
      </c>
      <c r="O40" s="11" t="inlineStr">
        <is>
          <t>https://www.roccpa.org.tw/member_search/more?id=1B0BB095-AB84-4022-B1AE-26C30A0FF6F7</t>
        </is>
      </c>
    </row>
    <row r="41">
      <c r="A41" s="10" t="n">
        <v>40</v>
      </c>
      <c r="B41" s="11" t="inlineStr">
        <is>
          <t>勤業眾信聯合會計師事務所</t>
        </is>
      </c>
      <c r="C41" s="11" t="inlineStr">
        <is>
          <t>Deloitte 勤業眾信</t>
        </is>
      </c>
      <c r="D41" s="11" t="inlineStr">
        <is>
          <t>彭以驊</t>
        </is>
      </c>
      <c r="E41" s="10" t="inlineStr">
        <is>
          <t>台北總所</t>
        </is>
      </c>
      <c r="F41" s="12" t="inlineStr">
        <is>
          <t>台北市信義區松仁路100號20樓</t>
        </is>
      </c>
      <c r="G41" s="12" t="inlineStr">
        <is>
          <t>台北市信義區松仁路100號20樓</t>
        </is>
      </c>
      <c r="H41" s="12" t="inlineStr"/>
      <c r="I41" s="10" t="inlineStr">
        <is>
          <t>113/06/19</t>
        </is>
      </c>
      <c r="J41" s="11" t="inlineStr">
        <is>
          <t>全聯會一字第1130000276號</t>
        </is>
      </c>
      <c r="K41" s="10" t="inlineStr">
        <is>
          <t>北市</t>
        </is>
      </c>
      <c r="L41" s="10" t="inlineStr">
        <is>
          <t>113/06/19</t>
        </is>
      </c>
      <c r="M41" s="10" t="inlineStr">
        <is>
          <t>4633</t>
        </is>
      </c>
      <c r="N41" s="10" t="inlineStr">
        <is>
          <t>2026-06-05</t>
        </is>
      </c>
      <c r="O41" s="11" t="inlineStr">
        <is>
          <t>https://www.roccpa.org.tw/member_search/more?id=FFAA6A97-A8F9-422D-A3DE-BBBE5474CC96</t>
        </is>
      </c>
    </row>
    <row r="42">
      <c r="A42" s="10" t="n">
        <v>41</v>
      </c>
      <c r="B42" s="11" t="inlineStr">
        <is>
          <t>勤業眾信聯合會計師事務所</t>
        </is>
      </c>
      <c r="C42" s="11" t="inlineStr">
        <is>
          <t>Deloitte 勤業眾信</t>
        </is>
      </c>
      <c r="D42" s="11" t="inlineStr">
        <is>
          <t>彭詩玄</t>
        </is>
      </c>
      <c r="E42" s="10" t="inlineStr">
        <is>
          <t>台北總所</t>
        </is>
      </c>
      <c r="F42" s="12" t="inlineStr">
        <is>
          <t>台北市信義區松仁路100號20樓</t>
        </is>
      </c>
      <c r="G42" s="12" t="inlineStr">
        <is>
          <t>台北市信義區松仁路100號20樓</t>
        </is>
      </c>
      <c r="H42" s="12" t="inlineStr"/>
      <c r="I42" s="10" t="inlineStr">
        <is>
          <t>113/06/19</t>
        </is>
      </c>
      <c r="J42" s="11" t="inlineStr">
        <is>
          <t>全聯會一字第1130000277號</t>
        </is>
      </c>
      <c r="K42" s="10" t="inlineStr">
        <is>
          <t>北市</t>
        </is>
      </c>
      <c r="L42" s="10" t="inlineStr">
        <is>
          <t>113/06/19</t>
        </is>
      </c>
      <c r="M42" s="10" t="inlineStr">
        <is>
          <t>4634</t>
        </is>
      </c>
      <c r="N42" s="10" t="inlineStr">
        <is>
          <t>2026-06-05</t>
        </is>
      </c>
      <c r="O42" s="11" t="inlineStr">
        <is>
          <t>https://www.roccpa.org.tw/member_search/more?id=52FEF518-C483-4496-A6D6-9DF0EA6890CF</t>
        </is>
      </c>
    </row>
    <row r="43">
      <c r="A43" s="10" t="n">
        <v>42</v>
      </c>
      <c r="B43" s="11" t="inlineStr">
        <is>
          <t>勤業眾信聯合會計師事務所</t>
        </is>
      </c>
      <c r="C43" s="11" t="inlineStr">
        <is>
          <t>Deloitte 勤業眾信</t>
        </is>
      </c>
      <c r="D43" s="11" t="inlineStr">
        <is>
          <t>徐曉婷</t>
        </is>
      </c>
      <c r="E43" s="10" t="inlineStr">
        <is>
          <t>台北總所</t>
        </is>
      </c>
      <c r="F43" s="12" t="inlineStr">
        <is>
          <t>台北市信義區松仁路100號20樓</t>
        </is>
      </c>
      <c r="G43" s="12" t="inlineStr">
        <is>
          <t>台北市信義區松仁路100號20樓</t>
        </is>
      </c>
      <c r="H43" s="12" t="inlineStr"/>
      <c r="I43" s="10" t="inlineStr">
        <is>
          <t>105/06/01</t>
        </is>
      </c>
      <c r="J43" s="11" t="inlineStr">
        <is>
          <t>全聯會一字第1050256</t>
        </is>
      </c>
      <c r="K43" s="10" t="inlineStr">
        <is>
          <t>北市</t>
        </is>
      </c>
      <c r="L43" s="10" t="inlineStr">
        <is>
          <t>105/06/13</t>
        </is>
      </c>
      <c r="M43" s="10" t="inlineStr">
        <is>
          <t>3941</t>
        </is>
      </c>
      <c r="N43" s="10" t="inlineStr">
        <is>
          <t>2026-06-05</t>
        </is>
      </c>
      <c r="O43" s="11" t="inlineStr">
        <is>
          <t>https://www.roccpa.org.tw/member_search/more?id=E3B79120-1085-455F-8DC3-174F37C816B4</t>
        </is>
      </c>
    </row>
    <row r="44">
      <c r="A44" s="10" t="n">
        <v>43</v>
      </c>
      <c r="B44" s="11" t="inlineStr">
        <is>
          <t>勤業眾信聯合會計師事務所</t>
        </is>
      </c>
      <c r="C44" s="11" t="inlineStr">
        <is>
          <t>Deloitte 勤業眾信</t>
        </is>
      </c>
      <c r="D44" s="11" t="inlineStr">
        <is>
          <t>徐有德</t>
        </is>
      </c>
      <c r="E44" s="10" t="inlineStr">
        <is>
          <t>台北總所</t>
        </is>
      </c>
      <c r="F44" s="12" t="inlineStr">
        <is>
          <t>台北市信義區松仁路100號20樓</t>
        </is>
      </c>
      <c r="G44" s="12" t="inlineStr">
        <is>
          <t>台北市信義區松仁路100號20樓</t>
        </is>
      </c>
      <c r="H44" s="12" t="inlineStr"/>
      <c r="I44" s="10" t="inlineStr">
        <is>
          <t>109/06/10</t>
        </is>
      </c>
      <c r="J44" s="11" t="inlineStr">
        <is>
          <t>全聯會一字第1090215</t>
        </is>
      </c>
      <c r="K44" s="10" t="inlineStr">
        <is>
          <t>北市</t>
        </is>
      </c>
      <c r="L44" s="10" t="inlineStr">
        <is>
          <t>109/06/10</t>
        </is>
      </c>
      <c r="M44" s="10" t="inlineStr">
        <is>
          <t>4254</t>
        </is>
      </c>
      <c r="N44" s="10" t="inlineStr">
        <is>
          <t>2026-06-05</t>
        </is>
      </c>
      <c r="O44" s="11" t="inlineStr">
        <is>
          <t>https://www.roccpa.org.tw/member_search/more?id=D5EBC033-8431-4C5E-89C7-D9DE3B0E8EF0</t>
        </is>
      </c>
    </row>
    <row r="45">
      <c r="A45" s="10" t="n">
        <v>44</v>
      </c>
      <c r="B45" s="11" t="inlineStr">
        <is>
          <t>勤業眾信聯合會計師事務所</t>
        </is>
      </c>
      <c r="C45" s="11" t="inlineStr">
        <is>
          <t>Deloitte 勤業眾信</t>
        </is>
      </c>
      <c r="D45" s="11" t="inlineStr">
        <is>
          <t>徐瑩瑩</t>
        </is>
      </c>
      <c r="E45" s="10" t="inlineStr">
        <is>
          <t>台北總所</t>
        </is>
      </c>
      <c r="F45" s="12" t="inlineStr">
        <is>
          <t>台北市信義區松仁路100號20樓</t>
        </is>
      </c>
      <c r="G45" s="12" t="inlineStr">
        <is>
          <t>台北市信義區松仁路100號20樓</t>
        </is>
      </c>
      <c r="H45" s="12" t="inlineStr"/>
      <c r="I45" s="10" t="inlineStr">
        <is>
          <t>100/05/25</t>
        </is>
      </c>
      <c r="J45" s="11" t="inlineStr">
        <is>
          <t>全聯會一字第1000214</t>
        </is>
      </c>
      <c r="K45" s="10" t="inlineStr">
        <is>
          <t>北市</t>
        </is>
      </c>
      <c r="L45" s="10" t="inlineStr">
        <is>
          <t>100/06/07</t>
        </is>
      </c>
      <c r="M45" s="10" t="inlineStr">
        <is>
          <t>3361</t>
        </is>
      </c>
      <c r="N45" s="10" t="inlineStr">
        <is>
          <t>2026-06-05</t>
        </is>
      </c>
      <c r="O45" s="11" t="inlineStr">
        <is>
          <t>https://www.roccpa.org.tw/member_search/more?id=6D12F464-D853-4E7F-92BA-CD42493CDD1F</t>
        </is>
      </c>
    </row>
    <row r="46">
      <c r="A46" s="10" t="n">
        <v>45</v>
      </c>
      <c r="B46" s="11" t="inlineStr">
        <is>
          <t>勤業眾信聯合會計師事務所</t>
        </is>
      </c>
      <c r="C46" s="11" t="inlineStr">
        <is>
          <t>Deloitte 勤業眾信</t>
        </is>
      </c>
      <c r="D46" s="11" t="inlineStr">
        <is>
          <t>戴信維</t>
        </is>
      </c>
      <c r="E46" s="10" t="inlineStr">
        <is>
          <t>台北總所</t>
        </is>
      </c>
      <c r="F46" s="12" t="inlineStr">
        <is>
          <t>台北市信義區松仁路100號20樓</t>
        </is>
      </c>
      <c r="G46" s="12" t="inlineStr">
        <is>
          <t>台北市信義區松仁路100號20樓</t>
        </is>
      </c>
      <c r="H46" s="12" t="inlineStr"/>
      <c r="I46" s="10" t="inlineStr"/>
      <c r="J46" s="11" t="inlineStr"/>
      <c r="K46" s="10" t="inlineStr">
        <is>
          <t>北市</t>
        </is>
      </c>
      <c r="L46" s="10" t="inlineStr">
        <is>
          <t>093/06/10</t>
        </is>
      </c>
      <c r="M46" s="10" t="inlineStr">
        <is>
          <t>2657</t>
        </is>
      </c>
      <c r="N46" s="10" t="inlineStr">
        <is>
          <t>2026-06-05</t>
        </is>
      </c>
      <c r="O46" s="11" t="inlineStr">
        <is>
          <t>https://www.roccpa.org.tw/member_search/more?id=2AC97838-387B-4247-AE6C-6D00E5F1C3F1</t>
        </is>
      </c>
    </row>
    <row r="47">
      <c r="A47" s="10" t="n">
        <v>46</v>
      </c>
      <c r="B47" s="11" t="inlineStr">
        <is>
          <t>勤業眾信聯合會計師事務所</t>
        </is>
      </c>
      <c r="C47" s="11" t="inlineStr">
        <is>
          <t>Deloitte 勤業眾信</t>
        </is>
      </c>
      <c r="D47" s="11" t="inlineStr">
        <is>
          <t>戴群倫</t>
        </is>
      </c>
      <c r="E47" s="10" t="inlineStr">
        <is>
          <t>台北總所</t>
        </is>
      </c>
      <c r="F47" s="12" t="inlineStr">
        <is>
          <t>台北市信義區松仁路100號20樓</t>
        </is>
      </c>
      <c r="G47" s="12" t="inlineStr">
        <is>
          <t>台北市信義區松仁路100號20樓</t>
        </is>
      </c>
      <c r="H47" s="12" t="inlineStr"/>
      <c r="I47" s="10" t="inlineStr">
        <is>
          <t>110/06/09</t>
        </is>
      </c>
      <c r="J47" s="11" t="inlineStr">
        <is>
          <t>全聯會一字第1100234</t>
        </is>
      </c>
      <c r="K47" s="10" t="inlineStr">
        <is>
          <t>北市</t>
        </is>
      </c>
      <c r="L47" s="10" t="inlineStr">
        <is>
          <t>110/06/09</t>
        </is>
      </c>
      <c r="M47" s="10" t="inlineStr">
        <is>
          <t>4339</t>
        </is>
      </c>
      <c r="N47" s="10" t="inlineStr">
        <is>
          <t>2026-06-05</t>
        </is>
      </c>
      <c r="O47" s="11" t="inlineStr">
        <is>
          <t>https://www.roccpa.org.tw/member_search/more?id=1AABF2DF-74B8-4157-8274-AAE12B32FF4D</t>
        </is>
      </c>
    </row>
    <row r="48">
      <c r="A48" s="10" t="n">
        <v>47</v>
      </c>
      <c r="B48" s="11" t="inlineStr">
        <is>
          <t>勤業眾信聯合會計師事務所</t>
        </is>
      </c>
      <c r="C48" s="11" t="inlineStr">
        <is>
          <t>Deloitte 勤業眾信</t>
        </is>
      </c>
      <c r="D48" s="11" t="inlineStr">
        <is>
          <t>方涵妮</t>
        </is>
      </c>
      <c r="E48" s="10" t="inlineStr">
        <is>
          <t>台北總所</t>
        </is>
      </c>
      <c r="F48" s="12" t="inlineStr">
        <is>
          <t>台北市信義區松仁路100號20樓</t>
        </is>
      </c>
      <c r="G48" s="12" t="inlineStr">
        <is>
          <t>台北市信義區松仁路100號20樓</t>
        </is>
      </c>
      <c r="H48" s="12" t="inlineStr"/>
      <c r="I48" s="10" t="inlineStr">
        <is>
          <t>109/06/10</t>
        </is>
      </c>
      <c r="J48" s="11" t="inlineStr">
        <is>
          <t>全聯會一字第1090213</t>
        </is>
      </c>
      <c r="K48" s="10" t="inlineStr">
        <is>
          <t>北市</t>
        </is>
      </c>
      <c r="L48" s="10" t="inlineStr">
        <is>
          <t>109/06/10</t>
        </is>
      </c>
      <c r="M48" s="10" t="inlineStr">
        <is>
          <t>4252</t>
        </is>
      </c>
      <c r="N48" s="10" t="inlineStr">
        <is>
          <t>2026-06-05</t>
        </is>
      </c>
      <c r="O48" s="11" t="inlineStr">
        <is>
          <t>https://www.roccpa.org.tw/member_search/more?id=F38FD116-076D-4AA7-8B77-CCBB83766EF2</t>
        </is>
      </c>
    </row>
    <row r="49">
      <c r="A49" s="10" t="n">
        <v>48</v>
      </c>
      <c r="B49" s="11" t="inlineStr">
        <is>
          <t>勤業眾信聯合會計師事務所</t>
        </is>
      </c>
      <c r="C49" s="11" t="inlineStr">
        <is>
          <t>Deloitte 勤業眾信</t>
        </is>
      </c>
      <c r="D49" s="11" t="inlineStr">
        <is>
          <t>施俊弘</t>
        </is>
      </c>
      <c r="E49" s="10" t="inlineStr">
        <is>
          <t>台北總所</t>
        </is>
      </c>
      <c r="F49" s="12" t="inlineStr">
        <is>
          <t>台北市信義區松仁路100號20樓</t>
        </is>
      </c>
      <c r="G49" s="12" t="inlineStr">
        <is>
          <t>台北市信義區松仁路100號20樓</t>
        </is>
      </c>
      <c r="H49" s="12" t="inlineStr"/>
      <c r="I49" s="10" t="inlineStr">
        <is>
          <t>111/06/10</t>
        </is>
      </c>
      <c r="J49" s="11" t="inlineStr">
        <is>
          <t>全聯會一字第1110220</t>
        </is>
      </c>
      <c r="K49" s="10" t="inlineStr">
        <is>
          <t>北市</t>
        </is>
      </c>
      <c r="L49" s="10" t="inlineStr">
        <is>
          <t>111/06/10</t>
        </is>
      </c>
      <c r="M49" s="10" t="inlineStr">
        <is>
          <t>4432</t>
        </is>
      </c>
      <c r="N49" s="10" t="inlineStr">
        <is>
          <t>2026-06-05</t>
        </is>
      </c>
      <c r="O49" s="11" t="inlineStr">
        <is>
          <t>https://www.roccpa.org.tw/member_search/more?id=4971E519-EABA-4380-91E8-EE81D10AD5D6</t>
        </is>
      </c>
    </row>
    <row r="50">
      <c r="A50" s="10" t="n">
        <v>49</v>
      </c>
      <c r="B50" s="11" t="inlineStr">
        <is>
          <t>勤業眾信聯合會計師事務所</t>
        </is>
      </c>
      <c r="C50" s="11" t="inlineStr">
        <is>
          <t>Deloitte 勤業眾信</t>
        </is>
      </c>
      <c r="D50" s="11" t="inlineStr">
        <is>
          <t>施錦川</t>
        </is>
      </c>
      <c r="E50" s="10" t="inlineStr">
        <is>
          <t>台北總所</t>
        </is>
      </c>
      <c r="F50" s="12" t="inlineStr">
        <is>
          <t>台北市信義區松仁路100號20樓</t>
        </is>
      </c>
      <c r="G50" s="12" t="inlineStr">
        <is>
          <t>台北市信義區松仁路100號20樓</t>
        </is>
      </c>
      <c r="H50" s="12" t="inlineStr"/>
      <c r="I50" s="10" t="inlineStr"/>
      <c r="J50" s="11" t="inlineStr"/>
      <c r="K50" s="10" t="inlineStr">
        <is>
          <t>北市</t>
        </is>
      </c>
      <c r="L50" s="10" t="inlineStr">
        <is>
          <t>093/06/10</t>
        </is>
      </c>
      <c r="M50" s="10" t="inlineStr">
        <is>
          <t>2646</t>
        </is>
      </c>
      <c r="N50" s="10" t="inlineStr">
        <is>
          <t>2026-06-05</t>
        </is>
      </c>
      <c r="O50" s="11" t="inlineStr">
        <is>
          <t>https://www.roccpa.org.tw/member_search/more?id=3EE54349-E302-4F74-A8B9-9FF9680D001D</t>
        </is>
      </c>
    </row>
    <row r="51">
      <c r="A51" s="10" t="n">
        <v>50</v>
      </c>
      <c r="B51" s="11" t="inlineStr">
        <is>
          <t>勤業眾信聯合會計師事務所</t>
        </is>
      </c>
      <c r="C51" s="11" t="inlineStr">
        <is>
          <t>Deloitte 勤業眾信</t>
        </is>
      </c>
      <c r="D51" s="11" t="inlineStr">
        <is>
          <t>曾建銘</t>
        </is>
      </c>
      <c r="E51" s="10" t="inlineStr">
        <is>
          <t>台北總所</t>
        </is>
      </c>
      <c r="F51" s="12" t="inlineStr">
        <is>
          <t>台北市信義區松仁路100號20樓</t>
        </is>
      </c>
      <c r="G51" s="12" t="inlineStr">
        <is>
          <t>台北市信義區松仁路100號20樓</t>
        </is>
      </c>
      <c r="H51" s="12" t="inlineStr"/>
      <c r="I51" s="10" t="inlineStr">
        <is>
          <t>110/06/09</t>
        </is>
      </c>
      <c r="J51" s="11" t="inlineStr">
        <is>
          <t>全聯會一字第1100223</t>
        </is>
      </c>
      <c r="K51" s="10" t="inlineStr">
        <is>
          <t>北市</t>
        </is>
      </c>
      <c r="L51" s="10" t="inlineStr">
        <is>
          <t>110/06/09</t>
        </is>
      </c>
      <c r="M51" s="10" t="inlineStr">
        <is>
          <t>4328</t>
        </is>
      </c>
      <c r="N51" s="10" t="inlineStr">
        <is>
          <t>2026-06-05</t>
        </is>
      </c>
      <c r="O51" s="11" t="inlineStr">
        <is>
          <t>https://www.roccpa.org.tw/member_search/more?id=9CD4A4F3-3155-47B2-9300-457A5470AED7</t>
        </is>
      </c>
    </row>
    <row r="52">
      <c r="A52" s="10" t="n">
        <v>51</v>
      </c>
      <c r="B52" s="11" t="inlineStr">
        <is>
          <t>勤業眾信聯合會計師事務所</t>
        </is>
      </c>
      <c r="C52" s="11" t="inlineStr">
        <is>
          <t>Deloitte 勤業眾信</t>
        </is>
      </c>
      <c r="D52" s="11" t="inlineStr">
        <is>
          <t>李冠豪</t>
        </is>
      </c>
      <c r="E52" s="10" t="inlineStr">
        <is>
          <t>台北總所</t>
        </is>
      </c>
      <c r="F52" s="12" t="inlineStr">
        <is>
          <t>台北市信義區松仁路100號20樓</t>
        </is>
      </c>
      <c r="G52" s="12" t="inlineStr">
        <is>
          <t>台北市信義區松仁路100號20樓</t>
        </is>
      </c>
      <c r="H52" s="12" t="inlineStr"/>
      <c r="I52" s="10" t="inlineStr">
        <is>
          <t>110/11/01</t>
        </is>
      </c>
      <c r="J52" s="11" t="inlineStr">
        <is>
          <t>全聯會一字第1100429</t>
        </is>
      </c>
      <c r="K52" s="10" t="inlineStr">
        <is>
          <t>北市</t>
        </is>
      </c>
      <c r="L52" s="10" t="inlineStr">
        <is>
          <t>110/11/01</t>
        </is>
      </c>
      <c r="M52" s="10" t="inlineStr">
        <is>
          <t>4377</t>
        </is>
      </c>
      <c r="N52" s="10" t="inlineStr">
        <is>
          <t>2026-06-05</t>
        </is>
      </c>
      <c r="O52" s="11" t="inlineStr">
        <is>
          <t>https://www.roccpa.org.tw/member_search/more?id=C3D8A53A-95A5-4507-9B55-C29526546704</t>
        </is>
      </c>
    </row>
    <row r="53">
      <c r="A53" s="10" t="n">
        <v>52</v>
      </c>
      <c r="B53" s="11" t="inlineStr">
        <is>
          <t>勤業眾信聯合會計師事務所</t>
        </is>
      </c>
      <c r="C53" s="11" t="inlineStr">
        <is>
          <t>Deloitte 勤業眾信</t>
        </is>
      </c>
      <c r="D53" s="11" t="inlineStr">
        <is>
          <t>李協昌</t>
        </is>
      </c>
      <c r="E53" s="10" t="inlineStr">
        <is>
          <t>台北總所</t>
        </is>
      </c>
      <c r="F53" s="12" t="inlineStr">
        <is>
          <t>台北市信義區松仁路100號20樓</t>
        </is>
      </c>
      <c r="G53" s="12" t="inlineStr">
        <is>
          <t>台北市信義區松仁路100號20樓</t>
        </is>
      </c>
      <c r="H53" s="12" t="inlineStr"/>
      <c r="I53" s="10" t="inlineStr">
        <is>
          <t>113/06/19</t>
        </is>
      </c>
      <c r="J53" s="11" t="inlineStr">
        <is>
          <t>全聯會一字第1130000282號</t>
        </is>
      </c>
      <c r="K53" s="10" t="inlineStr">
        <is>
          <t>北市</t>
        </is>
      </c>
      <c r="L53" s="10" t="inlineStr">
        <is>
          <t>113/06/19</t>
        </is>
      </c>
      <c r="M53" s="10" t="inlineStr">
        <is>
          <t>4639</t>
        </is>
      </c>
      <c r="N53" s="10" t="inlineStr">
        <is>
          <t>2026-06-05</t>
        </is>
      </c>
      <c r="O53" s="11" t="inlineStr">
        <is>
          <t>https://www.roccpa.org.tw/member_search/more?id=8799F601-0F5C-4A37-9960-7D57546C009F</t>
        </is>
      </c>
    </row>
    <row r="54">
      <c r="A54" s="10" t="n">
        <v>53</v>
      </c>
      <c r="B54" s="11" t="inlineStr">
        <is>
          <t>勤業眾信聯合會計師事務所</t>
        </is>
      </c>
      <c r="C54" s="11" t="inlineStr">
        <is>
          <t>Deloitte 勤業眾信</t>
        </is>
      </c>
      <c r="D54" s="11" t="inlineStr">
        <is>
          <t>李嘉雯</t>
        </is>
      </c>
      <c r="E54" s="10" t="inlineStr">
        <is>
          <t>台北總所</t>
        </is>
      </c>
      <c r="F54" s="12" t="inlineStr">
        <is>
          <t>台北市信義區松仁路100號20樓</t>
        </is>
      </c>
      <c r="G54" s="12" t="inlineStr">
        <is>
          <t>台北市信義區松仁路100號20樓</t>
        </is>
      </c>
      <c r="H54" s="12" t="inlineStr"/>
      <c r="I54" s="10" t="inlineStr">
        <is>
          <t>110/06/09</t>
        </is>
      </c>
      <c r="J54" s="11" t="inlineStr">
        <is>
          <t>全聯會一字第1100235</t>
        </is>
      </c>
      <c r="K54" s="10" t="inlineStr">
        <is>
          <t>北市</t>
        </is>
      </c>
      <c r="L54" s="10" t="inlineStr">
        <is>
          <t>110/06/09</t>
        </is>
      </c>
      <c r="M54" s="10" t="inlineStr">
        <is>
          <t>4340</t>
        </is>
      </c>
      <c r="N54" s="10" t="inlineStr">
        <is>
          <t>2026-06-05</t>
        </is>
      </c>
      <c r="O54" s="11" t="inlineStr">
        <is>
          <t>https://www.roccpa.org.tw/member_search/more?id=3DB882A6-01AE-49FD-8D4E-16451F9054FB</t>
        </is>
      </c>
    </row>
    <row r="55">
      <c r="A55" s="10" t="n">
        <v>54</v>
      </c>
      <c r="B55" s="11" t="inlineStr">
        <is>
          <t>勤業眾信聯合會計師事務所</t>
        </is>
      </c>
      <c r="C55" s="11" t="inlineStr">
        <is>
          <t>Deloitte 勤業眾信</t>
        </is>
      </c>
      <c r="D55" s="11" t="inlineStr">
        <is>
          <t>李惠先</t>
        </is>
      </c>
      <c r="E55" s="10" t="inlineStr">
        <is>
          <t>台北總所</t>
        </is>
      </c>
      <c r="F55" s="12" t="inlineStr">
        <is>
          <t>台北市信義區松仁路100號20樓</t>
        </is>
      </c>
      <c r="G55" s="12" t="inlineStr">
        <is>
          <t>台北市信義區松仁路100號20樓</t>
        </is>
      </c>
      <c r="H55" s="12" t="inlineStr"/>
      <c r="I55" s="10" t="inlineStr">
        <is>
          <t>105/06/01</t>
        </is>
      </c>
      <c r="J55" s="11" t="inlineStr">
        <is>
          <t>全聯會一字第1050257</t>
        </is>
      </c>
      <c r="K55" s="10" t="inlineStr">
        <is>
          <t>北市</t>
        </is>
      </c>
      <c r="L55" s="10" t="inlineStr">
        <is>
          <t>105/06/13</t>
        </is>
      </c>
      <c r="M55" s="10" t="inlineStr">
        <is>
          <t>3942</t>
        </is>
      </c>
      <c r="N55" s="10" t="inlineStr">
        <is>
          <t>2026-06-05</t>
        </is>
      </c>
      <c r="O55" s="11" t="inlineStr">
        <is>
          <t>https://www.roccpa.org.tw/member_search/more?id=19529D28-CB3C-483A-BDF5-BD60883E6788</t>
        </is>
      </c>
    </row>
    <row r="56">
      <c r="A56" s="10" t="n">
        <v>55</v>
      </c>
      <c r="B56" s="11" t="inlineStr">
        <is>
          <t>勤業眾信聯合會計師事務所</t>
        </is>
      </c>
      <c r="C56" s="11" t="inlineStr">
        <is>
          <t>Deloitte 勤業眾信</t>
        </is>
      </c>
      <c r="D56" s="11" t="inlineStr">
        <is>
          <t>李東峰</t>
        </is>
      </c>
      <c r="E56" s="10" t="inlineStr">
        <is>
          <t>台北總所</t>
        </is>
      </c>
      <c r="F56" s="12" t="inlineStr">
        <is>
          <t>台北市信義區松仁路100號20樓</t>
        </is>
      </c>
      <c r="G56" s="12" t="inlineStr">
        <is>
          <t>台北市信義區松仁路100號20樓</t>
        </is>
      </c>
      <c r="H56" s="12" t="inlineStr"/>
      <c r="I56" s="10" t="inlineStr"/>
      <c r="J56" s="11" t="inlineStr"/>
      <c r="K56" s="10" t="inlineStr">
        <is>
          <t>北市</t>
        </is>
      </c>
      <c r="L56" s="10" t="inlineStr">
        <is>
          <t>093/06/10</t>
        </is>
      </c>
      <c r="M56" s="10" t="inlineStr">
        <is>
          <t>2660</t>
        </is>
      </c>
      <c r="N56" s="10" t="inlineStr">
        <is>
          <t>2026-06-05</t>
        </is>
      </c>
      <c r="O56" s="11" t="inlineStr">
        <is>
          <t>https://www.roccpa.org.tw/member_search/more?id=B4BFCA03-EAAF-48CC-9C4F-2FD77F712F00</t>
        </is>
      </c>
    </row>
    <row r="57">
      <c r="A57" s="10" t="n">
        <v>56</v>
      </c>
      <c r="B57" s="11" t="inlineStr">
        <is>
          <t>勤業眾信聯合會計師事務所</t>
        </is>
      </c>
      <c r="C57" s="11" t="inlineStr">
        <is>
          <t>Deloitte 勤業眾信</t>
        </is>
      </c>
      <c r="D57" s="11" t="inlineStr">
        <is>
          <t>李柏廷</t>
        </is>
      </c>
      <c r="E57" s="10" t="inlineStr">
        <is>
          <t>台北總所</t>
        </is>
      </c>
      <c r="F57" s="12" t="inlineStr">
        <is>
          <t>台北市信義區松仁路100號20樓</t>
        </is>
      </c>
      <c r="G57" s="12" t="inlineStr">
        <is>
          <t>台北市信義區松仁路100號20樓</t>
        </is>
      </c>
      <c r="H57" s="12" t="inlineStr"/>
      <c r="I57" s="10" t="inlineStr">
        <is>
          <t>115/06/15</t>
        </is>
      </c>
      <c r="J57" s="11" t="inlineStr">
        <is>
          <t>全聯會一字第1150000292號</t>
        </is>
      </c>
      <c r="K57" s="10" t="inlineStr">
        <is>
          <t>北市</t>
        </is>
      </c>
      <c r="L57" s="10" t="inlineStr">
        <is>
          <t>115/06/15</t>
        </is>
      </c>
      <c r="M57" s="10" t="inlineStr">
        <is>
          <t>4899</t>
        </is>
      </c>
      <c r="N57" s="10" t="inlineStr">
        <is>
          <t>2026-06-23</t>
        </is>
      </c>
      <c r="O57" s="11" t="inlineStr">
        <is>
          <t>https://www.roccpa.org.tw/member_search/more?id=aed062bdf00544f7813b769597dfddf8</t>
        </is>
      </c>
    </row>
    <row r="58">
      <c r="A58" s="10" t="n">
        <v>57</v>
      </c>
      <c r="B58" s="11" t="inlineStr">
        <is>
          <t>勤業眾信聯合會計師事務所</t>
        </is>
      </c>
      <c r="C58" s="11" t="inlineStr">
        <is>
          <t>Deloitte 勤業眾信</t>
        </is>
      </c>
      <c r="D58" s="11" t="inlineStr">
        <is>
          <t>李穗青</t>
        </is>
      </c>
      <c r="E58" s="10" t="inlineStr">
        <is>
          <t>台北總所</t>
        </is>
      </c>
      <c r="F58" s="12" t="inlineStr">
        <is>
          <t>台北市信義區松仁路100號20樓</t>
        </is>
      </c>
      <c r="G58" s="12" t="inlineStr">
        <is>
          <t>台北市信義區松仁路100號20樓</t>
        </is>
      </c>
      <c r="H58" s="12" t="inlineStr"/>
      <c r="I58" s="10" t="inlineStr">
        <is>
          <t>110/06/09</t>
        </is>
      </c>
      <c r="J58" s="11" t="inlineStr">
        <is>
          <t>全聯會一字第1100229</t>
        </is>
      </c>
      <c r="K58" s="10" t="inlineStr">
        <is>
          <t>北市</t>
        </is>
      </c>
      <c r="L58" s="10" t="inlineStr">
        <is>
          <t>110/06/09</t>
        </is>
      </c>
      <c r="M58" s="10" t="inlineStr">
        <is>
          <t>4334</t>
        </is>
      </c>
      <c r="N58" s="10" t="inlineStr">
        <is>
          <t>2026-06-05</t>
        </is>
      </c>
      <c r="O58" s="11" t="inlineStr">
        <is>
          <t>https://www.roccpa.org.tw/member_search/more?id=D94A8848-95D5-411F-A06A-7180684C7F8B</t>
        </is>
      </c>
    </row>
    <row r="59">
      <c r="A59" s="10" t="n">
        <v>58</v>
      </c>
      <c r="B59" s="11" t="inlineStr">
        <is>
          <t>勤業眾信聯合會計師事務所</t>
        </is>
      </c>
      <c r="C59" s="11" t="inlineStr">
        <is>
          <t>Deloitte 勤業眾信</t>
        </is>
      </c>
      <c r="D59" s="11" t="inlineStr">
        <is>
          <t>李紹平</t>
        </is>
      </c>
      <c r="E59" s="10" t="inlineStr">
        <is>
          <t>台北總所</t>
        </is>
      </c>
      <c r="F59" s="12" t="inlineStr">
        <is>
          <t>台北市信義區松仁路100號20樓</t>
        </is>
      </c>
      <c r="G59" s="12" t="inlineStr">
        <is>
          <t>台北市信義區松仁路100號20樓</t>
        </is>
      </c>
      <c r="H59" s="12" t="inlineStr"/>
      <c r="I59" s="10" t="inlineStr">
        <is>
          <t>103/05/30</t>
        </is>
      </c>
      <c r="J59" s="11" t="inlineStr">
        <is>
          <t>全聯會一字第1030216</t>
        </is>
      </c>
      <c r="K59" s="10" t="inlineStr">
        <is>
          <t>北市</t>
        </is>
      </c>
      <c r="L59" s="10" t="inlineStr">
        <is>
          <t>103/06/12</t>
        </is>
      </c>
      <c r="M59" s="10" t="inlineStr">
        <is>
          <t>3707</t>
        </is>
      </c>
      <c r="N59" s="10" t="inlineStr">
        <is>
          <t>2026-06-05</t>
        </is>
      </c>
      <c r="O59" s="11" t="inlineStr">
        <is>
          <t>https://www.roccpa.org.tw/member_search/more?id=7F2788BF-80FE-4AC5-BDC0-C65EB6A70999</t>
        </is>
      </c>
    </row>
    <row r="60">
      <c r="A60" s="10" t="n">
        <v>59</v>
      </c>
      <c r="B60" s="11" t="inlineStr">
        <is>
          <t>勤業眾信聯合會計師事務所</t>
        </is>
      </c>
      <c r="C60" s="11" t="inlineStr">
        <is>
          <t>Deloitte 勤業眾信</t>
        </is>
      </c>
      <c r="D60" s="11" t="inlineStr">
        <is>
          <t>李芸珊</t>
        </is>
      </c>
      <c r="E60" s="10" t="inlineStr">
        <is>
          <t>台北總所</t>
        </is>
      </c>
      <c r="F60" s="12" t="inlineStr">
        <is>
          <t>台北市信義區松仁路100號20樓</t>
        </is>
      </c>
      <c r="G60" s="12" t="inlineStr">
        <is>
          <t>台北市信義區松仁路100號20樓</t>
        </is>
      </c>
      <c r="H60" s="12" t="inlineStr"/>
      <c r="I60" s="10" t="inlineStr">
        <is>
          <t>114/06/18</t>
        </is>
      </c>
      <c r="J60" s="11" t="inlineStr">
        <is>
          <t>全聯會一字第1140000244號</t>
        </is>
      </c>
      <c r="K60" s="10" t="inlineStr">
        <is>
          <t>北市</t>
        </is>
      </c>
      <c r="L60" s="10" t="inlineStr">
        <is>
          <t>114/06/18</t>
        </is>
      </c>
      <c r="M60" s="10" t="inlineStr">
        <is>
          <t>4728</t>
        </is>
      </c>
      <c r="N60" s="10" t="inlineStr">
        <is>
          <t>2026-06-05</t>
        </is>
      </c>
      <c r="O60" s="11" t="inlineStr">
        <is>
          <t>https://www.roccpa.org.tw/member_search/more?id=3F90D3FB-2D03-41A4-97CE-BC9D3FEB81D3</t>
        </is>
      </c>
    </row>
    <row r="61">
      <c r="A61" s="10" t="n">
        <v>60</v>
      </c>
      <c r="B61" s="11" t="inlineStr">
        <is>
          <t>勤業眾信聯合會計師事務所</t>
        </is>
      </c>
      <c r="C61" s="11" t="inlineStr">
        <is>
          <t>Deloitte 勤業眾信</t>
        </is>
      </c>
      <c r="D61" s="11" t="inlineStr">
        <is>
          <t>李麗凰</t>
        </is>
      </c>
      <c r="E61" s="10" t="inlineStr">
        <is>
          <t>台北總所</t>
        </is>
      </c>
      <c r="F61" s="12" t="inlineStr">
        <is>
          <t>台北市信義區松仁路100號20樓</t>
        </is>
      </c>
      <c r="G61" s="12" t="inlineStr">
        <is>
          <t>台北市信義區松仁路100號20樓</t>
        </is>
      </c>
      <c r="H61" s="12" t="inlineStr"/>
      <c r="I61" s="10" t="inlineStr"/>
      <c r="J61" s="11" t="inlineStr"/>
      <c r="K61" s="10" t="inlineStr">
        <is>
          <t>北市</t>
        </is>
      </c>
      <c r="L61" s="10" t="inlineStr">
        <is>
          <t>093/06/10</t>
        </is>
      </c>
      <c r="M61" s="10" t="inlineStr">
        <is>
          <t>2650</t>
        </is>
      </c>
      <c r="N61" s="10" t="inlineStr">
        <is>
          <t>2026-06-05</t>
        </is>
      </c>
      <c r="O61" s="11" t="inlineStr">
        <is>
          <t>https://www.roccpa.org.tw/member_search/more?id=E3A870D5-A501-4133-B9CC-C06C58DD1414</t>
        </is>
      </c>
    </row>
    <row r="62">
      <c r="A62" s="10" t="n">
        <v>61</v>
      </c>
      <c r="B62" s="11" t="inlineStr">
        <is>
          <t>勤業眾信聯合會計師事務所</t>
        </is>
      </c>
      <c r="C62" s="11" t="inlineStr">
        <is>
          <t>Deloitte 勤業眾信</t>
        </is>
      </c>
      <c r="D62" s="11" t="inlineStr">
        <is>
          <t>林志偉</t>
        </is>
      </c>
      <c r="E62" s="10" t="inlineStr">
        <is>
          <t>台北總所</t>
        </is>
      </c>
      <c r="F62" s="12" t="inlineStr">
        <is>
          <t>台北市信義區松仁路100號20樓</t>
        </is>
      </c>
      <c r="G62" s="12" t="inlineStr">
        <is>
          <t>台北市信義區松仁路100號20樓</t>
        </is>
      </c>
      <c r="H62" s="12" t="inlineStr"/>
      <c r="I62" s="10" t="inlineStr">
        <is>
          <t>113/06/19</t>
        </is>
      </c>
      <c r="J62" s="11" t="inlineStr">
        <is>
          <t>全聯會一字第1130000287號</t>
        </is>
      </c>
      <c r="K62" s="10" t="inlineStr">
        <is>
          <t>北市</t>
        </is>
      </c>
      <c r="L62" s="10" t="inlineStr">
        <is>
          <t>113/06/19</t>
        </is>
      </c>
      <c r="M62" s="10" t="inlineStr">
        <is>
          <t>4644</t>
        </is>
      </c>
      <c r="N62" s="10" t="inlineStr">
        <is>
          <t>2026-06-05</t>
        </is>
      </c>
      <c r="O62" s="11" t="inlineStr">
        <is>
          <t>https://www.roccpa.org.tw/member_search/more?id=8FA72C42-FFD0-4B3D-8C48-13D855A0F9AE</t>
        </is>
      </c>
    </row>
    <row r="63">
      <c r="A63" s="10" t="n">
        <v>62</v>
      </c>
      <c r="B63" s="11" t="inlineStr">
        <is>
          <t>勤業眾信聯合會計師事務所</t>
        </is>
      </c>
      <c r="C63" s="11" t="inlineStr">
        <is>
          <t>Deloitte 勤業眾信</t>
        </is>
      </c>
      <c r="D63" s="11" t="inlineStr">
        <is>
          <t>林旺生</t>
        </is>
      </c>
      <c r="E63" s="10" t="inlineStr">
        <is>
          <t>台北總所</t>
        </is>
      </c>
      <c r="F63" s="12" t="inlineStr">
        <is>
          <t>台北市信義區松仁路100號20樓</t>
        </is>
      </c>
      <c r="G63" s="12" t="inlineStr">
        <is>
          <t>台北市信義區松仁路100號20樓</t>
        </is>
      </c>
      <c r="H63" s="12" t="inlineStr"/>
      <c r="I63" s="10" t="inlineStr">
        <is>
          <t>106/06/01</t>
        </is>
      </c>
      <c r="J63" s="11" t="inlineStr">
        <is>
          <t>全聯會一字第1060198</t>
        </is>
      </c>
      <c r="K63" s="10" t="inlineStr">
        <is>
          <t>北市</t>
        </is>
      </c>
      <c r="L63" s="10" t="inlineStr">
        <is>
          <t>106/06/13</t>
        </is>
      </c>
      <c r="M63" s="10" t="inlineStr">
        <is>
          <t>4020</t>
        </is>
      </c>
      <c r="N63" s="10" t="inlineStr">
        <is>
          <t>2026-06-05</t>
        </is>
      </c>
      <c r="O63" s="11" t="inlineStr">
        <is>
          <t>https://www.roccpa.org.tw/member_search/more?id=A4751F9B-C322-4B01-BCA3-5EDD004F4D0D</t>
        </is>
      </c>
    </row>
    <row r="64">
      <c r="A64" s="10" t="n">
        <v>63</v>
      </c>
      <c r="B64" s="11" t="inlineStr">
        <is>
          <t>勤業眾信聯合會計師事務所</t>
        </is>
      </c>
      <c r="C64" s="11" t="inlineStr">
        <is>
          <t>Deloitte 勤業眾信</t>
        </is>
      </c>
      <c r="D64" s="11" t="inlineStr">
        <is>
          <t>林淑如</t>
        </is>
      </c>
      <c r="E64" s="10" t="inlineStr">
        <is>
          <t>台北總所</t>
        </is>
      </c>
      <c r="F64" s="12" t="inlineStr">
        <is>
          <t>台北市信義區松仁路100號20樓</t>
        </is>
      </c>
      <c r="G64" s="12" t="inlineStr">
        <is>
          <t>台北市信義區松仁路100號20樓</t>
        </is>
      </c>
      <c r="H64" s="12" t="inlineStr"/>
      <c r="I64" s="10" t="inlineStr">
        <is>
          <t>108/06/12</t>
        </is>
      </c>
      <c r="J64" s="11" t="inlineStr">
        <is>
          <t>全聯會一字第1080208</t>
        </is>
      </c>
      <c r="K64" s="10" t="inlineStr">
        <is>
          <t>北市</t>
        </is>
      </c>
      <c r="L64" s="10" t="inlineStr">
        <is>
          <t>108/06/12</t>
        </is>
      </c>
      <c r="M64" s="10" t="inlineStr">
        <is>
          <t>4172</t>
        </is>
      </c>
      <c r="N64" s="10" t="inlineStr">
        <is>
          <t>2026-06-05</t>
        </is>
      </c>
      <c r="O64" s="11" t="inlineStr">
        <is>
          <t>https://www.roccpa.org.tw/member_search/more?id=83FF869A-7DFE-4D8B-80C2-461F9FF43D5D</t>
        </is>
      </c>
    </row>
    <row r="65">
      <c r="A65" s="10" t="n">
        <v>64</v>
      </c>
      <c r="B65" s="11" t="inlineStr">
        <is>
          <t>勤業眾信聯合會計師事務所</t>
        </is>
      </c>
      <c r="C65" s="11" t="inlineStr">
        <is>
          <t>Deloitte 勤業眾信</t>
        </is>
      </c>
      <c r="D65" s="11" t="inlineStr">
        <is>
          <t>林淑婉</t>
        </is>
      </c>
      <c r="E65" s="10" t="inlineStr">
        <is>
          <t>台北總所</t>
        </is>
      </c>
      <c r="F65" s="12" t="inlineStr">
        <is>
          <t>台北市信義區松仁路100號20樓</t>
        </is>
      </c>
      <c r="G65" s="12" t="inlineStr">
        <is>
          <t>台北市信義區松仁路100號20樓</t>
        </is>
      </c>
      <c r="H65" s="12" t="inlineStr"/>
      <c r="I65" s="10" t="inlineStr"/>
      <c r="J65" s="11" t="inlineStr"/>
      <c r="K65" s="10" t="inlineStr">
        <is>
          <t>北市</t>
        </is>
      </c>
      <c r="L65" s="10" t="inlineStr">
        <is>
          <t>093/11/17</t>
        </is>
      </c>
      <c r="M65" s="10" t="inlineStr">
        <is>
          <t>2693</t>
        </is>
      </c>
      <c r="N65" s="10" t="inlineStr">
        <is>
          <t>2026-06-05</t>
        </is>
      </c>
      <c r="O65" s="11" t="inlineStr">
        <is>
          <t>https://www.roccpa.org.tw/member_search/more?id=A73166DC-C1A3-421A-9092-F352A7D66DA7</t>
        </is>
      </c>
    </row>
    <row r="66">
      <c r="A66" s="10" t="n">
        <v>65</v>
      </c>
      <c r="B66" s="11" t="inlineStr">
        <is>
          <t>勤業眾信聯合會計師事務所</t>
        </is>
      </c>
      <c r="C66" s="11" t="inlineStr">
        <is>
          <t>Deloitte 勤業眾信</t>
        </is>
      </c>
      <c r="D66" s="11" t="inlineStr">
        <is>
          <t>林淑怡</t>
        </is>
      </c>
      <c r="E66" s="10" t="inlineStr">
        <is>
          <t>台北總所</t>
        </is>
      </c>
      <c r="F66" s="12" t="inlineStr">
        <is>
          <t>台北市信義區松仁路100號20樓</t>
        </is>
      </c>
      <c r="G66" s="12" t="inlineStr">
        <is>
          <t>台北市信義區松仁路100號20樓</t>
        </is>
      </c>
      <c r="H66" s="12" t="inlineStr"/>
      <c r="I66" s="10" t="inlineStr"/>
      <c r="J66" s="11" t="inlineStr"/>
      <c r="K66" s="10" t="inlineStr">
        <is>
          <t>北市</t>
        </is>
      </c>
      <c r="L66" s="10" t="inlineStr">
        <is>
          <t>096/06/11</t>
        </is>
      </c>
      <c r="M66" s="10" t="inlineStr">
        <is>
          <t>2945</t>
        </is>
      </c>
      <c r="N66" s="10" t="inlineStr">
        <is>
          <t>2026-06-05</t>
        </is>
      </c>
      <c r="O66" s="11" t="inlineStr">
        <is>
          <t>https://www.roccpa.org.tw/member_search/more?id=46A41D7C-7999-4FEE-A3C7-C3CC5C8832D1</t>
        </is>
      </c>
    </row>
    <row r="67">
      <c r="A67" s="10" t="n">
        <v>66</v>
      </c>
      <c r="B67" s="11" t="inlineStr">
        <is>
          <t>勤業眾信聯合會計師事務所</t>
        </is>
      </c>
      <c r="C67" s="11" t="inlineStr">
        <is>
          <t>Deloitte 勤業眾信</t>
        </is>
      </c>
      <c r="D67" s="11" t="inlineStr">
        <is>
          <t>柯志賢</t>
        </is>
      </c>
      <c r="E67" s="10" t="inlineStr">
        <is>
          <t>台北總所</t>
        </is>
      </c>
      <c r="F67" s="12" t="inlineStr">
        <is>
          <t>台北市信義區松仁路100號20樓</t>
        </is>
      </c>
      <c r="G67" s="12" t="inlineStr">
        <is>
          <t>台北市信義區松仁路100號20樓</t>
        </is>
      </c>
      <c r="H67" s="12" t="inlineStr"/>
      <c r="I67" s="10" t="inlineStr"/>
      <c r="J67" s="11" t="inlineStr"/>
      <c r="K67" s="10" t="inlineStr">
        <is>
          <t>北市</t>
        </is>
      </c>
      <c r="L67" s="10" t="inlineStr">
        <is>
          <t>093/11/17</t>
        </is>
      </c>
      <c r="M67" s="10" t="inlineStr">
        <is>
          <t>2696</t>
        </is>
      </c>
      <c r="N67" s="10" t="inlineStr">
        <is>
          <t>2026-06-05</t>
        </is>
      </c>
      <c r="O67" s="11" t="inlineStr">
        <is>
          <t>https://www.roccpa.org.tw/member_search/more?id=4BC790DB-EA1B-4316-A20D-6EA4BD4800C0</t>
        </is>
      </c>
    </row>
    <row r="68">
      <c r="A68" s="10" t="n">
        <v>67</v>
      </c>
      <c r="B68" s="11" t="inlineStr">
        <is>
          <t>勤業眾信聯合會計師事務所</t>
        </is>
      </c>
      <c r="C68" s="11" t="inlineStr">
        <is>
          <t>Deloitte 勤業眾信</t>
        </is>
      </c>
      <c r="D68" s="11" t="inlineStr">
        <is>
          <t>梁盛泰</t>
        </is>
      </c>
      <c r="E68" s="10" t="inlineStr">
        <is>
          <t>台北總所</t>
        </is>
      </c>
      <c r="F68" s="12" t="inlineStr">
        <is>
          <t>台北市信義區松仁路100號20樓</t>
        </is>
      </c>
      <c r="G68" s="12" t="inlineStr">
        <is>
          <t>台北市信義區松仁路100號20樓</t>
        </is>
      </c>
      <c r="H68" s="12" t="inlineStr"/>
      <c r="I68" s="10" t="inlineStr">
        <is>
          <t>110/06/09</t>
        </is>
      </c>
      <c r="J68" s="11" t="inlineStr">
        <is>
          <t>全聯會一字第1100231</t>
        </is>
      </c>
      <c r="K68" s="10" t="inlineStr">
        <is>
          <t>北市</t>
        </is>
      </c>
      <c r="L68" s="10" t="inlineStr">
        <is>
          <t>110/06/09</t>
        </is>
      </c>
      <c r="M68" s="10" t="inlineStr">
        <is>
          <t>4336</t>
        </is>
      </c>
      <c r="N68" s="10" t="inlineStr">
        <is>
          <t>2026-06-05</t>
        </is>
      </c>
      <c r="O68" s="11" t="inlineStr">
        <is>
          <t>https://www.roccpa.org.tw/member_search/more?id=DEBB4821-3D39-4E35-8D40-DCFC521F103A</t>
        </is>
      </c>
    </row>
    <row r="69">
      <c r="A69" s="10" t="n">
        <v>68</v>
      </c>
      <c r="B69" s="11" t="inlineStr">
        <is>
          <t>勤業眾信聯合會計師事務所</t>
        </is>
      </c>
      <c r="C69" s="11" t="inlineStr">
        <is>
          <t>Deloitte 勤業眾信</t>
        </is>
      </c>
      <c r="D69" s="11" t="inlineStr">
        <is>
          <t>楊啟聖</t>
        </is>
      </c>
      <c r="E69" s="10" t="inlineStr">
        <is>
          <t>台北總所</t>
        </is>
      </c>
      <c r="F69" s="12" t="inlineStr">
        <is>
          <t>台北市信義區松仁路100號20樓</t>
        </is>
      </c>
      <c r="G69" s="12" t="inlineStr">
        <is>
          <t>台北市信義區松仁路100號20樓</t>
        </is>
      </c>
      <c r="H69" s="12" t="inlineStr"/>
      <c r="I69" s="10" t="inlineStr">
        <is>
          <t>109/06/10</t>
        </is>
      </c>
      <c r="J69" s="11" t="inlineStr">
        <is>
          <t>全聯會一字第1090217</t>
        </is>
      </c>
      <c r="K69" s="10" t="inlineStr">
        <is>
          <t>北市</t>
        </is>
      </c>
      <c r="L69" s="10" t="inlineStr">
        <is>
          <t>109/06/10</t>
        </is>
      </c>
      <c r="M69" s="10" t="inlineStr">
        <is>
          <t>4256</t>
        </is>
      </c>
      <c r="N69" s="10" t="inlineStr">
        <is>
          <t>2026-06-05</t>
        </is>
      </c>
      <c r="O69" s="11" t="inlineStr">
        <is>
          <t>https://www.roccpa.org.tw/member_search/more?id=4CB9F9F9-78D1-44C4-85E0-8996E0F008C9</t>
        </is>
      </c>
    </row>
    <row r="70">
      <c r="A70" s="10" t="n">
        <v>69</v>
      </c>
      <c r="B70" s="11" t="inlineStr">
        <is>
          <t>勤業眾信聯合會計師事務所</t>
        </is>
      </c>
      <c r="C70" s="11" t="inlineStr">
        <is>
          <t>Deloitte 勤業眾信</t>
        </is>
      </c>
      <c r="D70" s="11" t="inlineStr">
        <is>
          <t>楊承修</t>
        </is>
      </c>
      <c r="E70" s="10" t="inlineStr">
        <is>
          <t>台北總所</t>
        </is>
      </c>
      <c r="F70" s="12" t="inlineStr">
        <is>
          <t>台北市信義區松仁路100號20樓</t>
        </is>
      </c>
      <c r="G70" s="12" t="inlineStr">
        <is>
          <t>台北市信義區松仁路100號20樓</t>
        </is>
      </c>
      <c r="H70" s="12" t="inlineStr"/>
      <c r="I70" s="10" t="inlineStr">
        <is>
          <t>098/05/27</t>
        </is>
      </c>
      <c r="J70" s="11" t="inlineStr">
        <is>
          <t>全聯會一字第09800197</t>
        </is>
      </c>
      <c r="K70" s="10" t="inlineStr">
        <is>
          <t>北市</t>
        </is>
      </c>
      <c r="L70" s="10" t="inlineStr">
        <is>
          <t>098/06/11</t>
        </is>
      </c>
      <c r="M70" s="10" t="inlineStr">
        <is>
          <t>3123</t>
        </is>
      </c>
      <c r="N70" s="10" t="inlineStr">
        <is>
          <t>2026-06-05</t>
        </is>
      </c>
      <c r="O70" s="11" t="inlineStr">
        <is>
          <t>https://www.roccpa.org.tw/member_search/more?id=F607E039-7264-466B-9BFE-B0C974257399</t>
        </is>
      </c>
    </row>
    <row r="71">
      <c r="A71" s="10" t="n">
        <v>70</v>
      </c>
      <c r="B71" s="11" t="inlineStr">
        <is>
          <t>勤業眾信聯合會計師事務所</t>
        </is>
      </c>
      <c r="C71" s="11" t="inlineStr">
        <is>
          <t>Deloitte 勤業眾信</t>
        </is>
      </c>
      <c r="D71" s="11" t="inlineStr">
        <is>
          <t>楊靜婷</t>
        </is>
      </c>
      <c r="E71" s="10" t="inlineStr">
        <is>
          <t>台北總所</t>
        </is>
      </c>
      <c r="F71" s="12" t="inlineStr">
        <is>
          <t>台北市信義區松仁路100號20樓</t>
        </is>
      </c>
      <c r="G71" s="12" t="inlineStr">
        <is>
          <t>台北市信義區松仁路100號20樓</t>
        </is>
      </c>
      <c r="H71" s="12" t="inlineStr"/>
      <c r="I71" s="10" t="inlineStr"/>
      <c r="J71" s="11" t="inlineStr"/>
      <c r="K71" s="10" t="inlineStr">
        <is>
          <t>北市</t>
        </is>
      </c>
      <c r="L71" s="10" t="inlineStr">
        <is>
          <t>093/06/10</t>
        </is>
      </c>
      <c r="M71" s="10" t="inlineStr">
        <is>
          <t>2652</t>
        </is>
      </c>
      <c r="N71" s="10" t="inlineStr">
        <is>
          <t>2026-06-05</t>
        </is>
      </c>
      <c r="O71" s="11" t="inlineStr">
        <is>
          <t>https://www.roccpa.org.tw/member_search/more?id=FB859068-D9E2-4455-A9EE-AE9B4D837748</t>
        </is>
      </c>
    </row>
    <row r="72">
      <c r="A72" s="10" t="n">
        <v>71</v>
      </c>
      <c r="B72" s="11" t="inlineStr">
        <is>
          <t>勤業眾信聯合會計師事務所</t>
        </is>
      </c>
      <c r="C72" s="11" t="inlineStr">
        <is>
          <t>Deloitte 勤業眾信</t>
        </is>
      </c>
      <c r="D72" s="11" t="inlineStr">
        <is>
          <t>江明南</t>
        </is>
      </c>
      <c r="E72" s="10" t="inlineStr">
        <is>
          <t>台北總所</t>
        </is>
      </c>
      <c r="F72" s="12" t="inlineStr">
        <is>
          <t>台北市信義區松仁路100號20樓</t>
        </is>
      </c>
      <c r="G72" s="12" t="inlineStr">
        <is>
          <t>台北市信義區松仁路100號20樓</t>
        </is>
      </c>
      <c r="H72" s="12" t="inlineStr"/>
      <c r="I72" s="10" t="inlineStr">
        <is>
          <t>105/06/01</t>
        </is>
      </c>
      <c r="J72" s="11" t="inlineStr">
        <is>
          <t>全聯會一字第1050253</t>
        </is>
      </c>
      <c r="K72" s="10" t="inlineStr">
        <is>
          <t>北市</t>
        </is>
      </c>
      <c r="L72" s="10" t="inlineStr">
        <is>
          <t>105/06/13</t>
        </is>
      </c>
      <c r="M72" s="10" t="inlineStr">
        <is>
          <t>3940</t>
        </is>
      </c>
      <c r="N72" s="10" t="inlineStr">
        <is>
          <t>2026-06-05</t>
        </is>
      </c>
      <c r="O72" s="11" t="inlineStr">
        <is>
          <t>https://www.roccpa.org.tw/member_search/more?id=9567C4E8-331A-477A-A1C0-1892BCEDFCC8</t>
        </is>
      </c>
    </row>
    <row r="73">
      <c r="A73" s="10" t="n">
        <v>72</v>
      </c>
      <c r="B73" s="11" t="inlineStr">
        <is>
          <t>勤業眾信聯合會計師事務所</t>
        </is>
      </c>
      <c r="C73" s="11" t="inlineStr">
        <is>
          <t>Deloitte 勤業眾信</t>
        </is>
      </c>
      <c r="D73" s="11" t="inlineStr">
        <is>
          <t>江美艷</t>
        </is>
      </c>
      <c r="E73" s="10" t="inlineStr">
        <is>
          <t>台北總所</t>
        </is>
      </c>
      <c r="F73" s="12" t="inlineStr">
        <is>
          <t>台北市信義區松仁路100號20樓</t>
        </is>
      </c>
      <c r="G73" s="12" t="inlineStr">
        <is>
          <t>台北市信義區松仁路100號20樓</t>
        </is>
      </c>
      <c r="H73" s="12" t="inlineStr"/>
      <c r="I73" s="10" t="inlineStr"/>
      <c r="J73" s="11" t="inlineStr"/>
      <c r="K73" s="10" t="inlineStr">
        <is>
          <t>北市</t>
        </is>
      </c>
      <c r="L73" s="10" t="inlineStr">
        <is>
          <t>093/06/24</t>
        </is>
      </c>
      <c r="M73" s="10" t="inlineStr">
        <is>
          <t>2663</t>
        </is>
      </c>
      <c r="N73" s="10" t="inlineStr">
        <is>
          <t>2026-06-05</t>
        </is>
      </c>
      <c r="O73" s="11" t="inlineStr">
        <is>
          <t>https://www.roccpa.org.tw/member_search/more?id=2AC4052F-E3E2-42E6-A588-4971D8FC5A33</t>
        </is>
      </c>
    </row>
    <row r="74">
      <c r="A74" s="10" t="n">
        <v>73</v>
      </c>
      <c r="B74" s="11" t="inlineStr">
        <is>
          <t>勤業眾信聯合會計師事務所</t>
        </is>
      </c>
      <c r="C74" s="11" t="inlineStr">
        <is>
          <t>Deloitte 勤業眾信</t>
        </is>
      </c>
      <c r="D74" s="11" t="inlineStr">
        <is>
          <t>江育維</t>
        </is>
      </c>
      <c r="E74" s="10" t="inlineStr">
        <is>
          <t>台北總所</t>
        </is>
      </c>
      <c r="F74" s="12" t="inlineStr">
        <is>
          <t>台北市信義區松仁路100號20樓</t>
        </is>
      </c>
      <c r="G74" s="12" t="inlineStr">
        <is>
          <t>台北市信義區松仁路100號20樓</t>
        </is>
      </c>
      <c r="H74" s="12" t="inlineStr"/>
      <c r="I74" s="10" t="inlineStr">
        <is>
          <t>108/06/12</t>
        </is>
      </c>
      <c r="J74" s="11" t="inlineStr">
        <is>
          <t>全聯會一字第1080209</t>
        </is>
      </c>
      <c r="K74" s="10" t="inlineStr">
        <is>
          <t>北市</t>
        </is>
      </c>
      <c r="L74" s="10" t="inlineStr">
        <is>
          <t>108/06/12</t>
        </is>
      </c>
      <c r="M74" s="10" t="inlineStr">
        <is>
          <t>4173</t>
        </is>
      </c>
      <c r="N74" s="10" t="inlineStr">
        <is>
          <t>2026-06-05</t>
        </is>
      </c>
      <c r="O74" s="11" t="inlineStr">
        <is>
          <t>https://www.roccpa.org.tw/member_search/more?id=77982608-BFED-4176-B762-3470CB12F125</t>
        </is>
      </c>
    </row>
    <row r="75">
      <c r="A75" s="10" t="n">
        <v>74</v>
      </c>
      <c r="B75" s="11" t="inlineStr">
        <is>
          <t>勤業眾信聯合會計師事務所</t>
        </is>
      </c>
      <c r="C75" s="11" t="inlineStr">
        <is>
          <t>Deloitte 勤業眾信</t>
        </is>
      </c>
      <c r="D75" s="11" t="inlineStr">
        <is>
          <t>池瑞全</t>
        </is>
      </c>
      <c r="E75" s="10" t="inlineStr">
        <is>
          <t>台北總所</t>
        </is>
      </c>
      <c r="F75" s="12" t="inlineStr">
        <is>
          <t>台北市信義區松仁路100號20樓</t>
        </is>
      </c>
      <c r="G75" s="12" t="inlineStr">
        <is>
          <t>台北市信義區松仁路100號20樓</t>
        </is>
      </c>
      <c r="H75" s="12" t="inlineStr"/>
      <c r="I75" s="10" t="inlineStr"/>
      <c r="J75" s="11" t="inlineStr"/>
      <c r="K75" s="10" t="inlineStr">
        <is>
          <t>北市</t>
        </is>
      </c>
      <c r="L75" s="10" t="inlineStr">
        <is>
          <t>090/01/10</t>
        </is>
      </c>
      <c r="M75" s="10" t="inlineStr">
        <is>
          <t>2332</t>
        </is>
      </c>
      <c r="N75" s="10" t="inlineStr">
        <is>
          <t>2026-06-05</t>
        </is>
      </c>
      <c r="O75" s="11" t="inlineStr">
        <is>
          <t>https://www.roccpa.org.tw/member_search/more?id=9E41795E-C06C-4CAF-B2F1-F98638994DEA</t>
        </is>
      </c>
    </row>
    <row r="76">
      <c r="A76" s="10" t="n">
        <v>75</v>
      </c>
      <c r="B76" s="11" t="inlineStr">
        <is>
          <t>勤業眾信聯合會計師事務所</t>
        </is>
      </c>
      <c r="C76" s="11" t="inlineStr">
        <is>
          <t>Deloitte 勤業眾信</t>
        </is>
      </c>
      <c r="D76" s="11" t="inlineStr">
        <is>
          <t>洪于婷</t>
        </is>
      </c>
      <c r="E76" s="10" t="inlineStr">
        <is>
          <t>台北總所</t>
        </is>
      </c>
      <c r="F76" s="12" t="inlineStr">
        <is>
          <t>台北市信義區松仁路100號20樓</t>
        </is>
      </c>
      <c r="G76" s="12" t="inlineStr">
        <is>
          <t>台北市信義區松仁路100號20樓</t>
        </is>
      </c>
      <c r="H76" s="12" t="inlineStr"/>
      <c r="I76" s="10" t="inlineStr">
        <is>
          <t>109/06/10</t>
        </is>
      </c>
      <c r="J76" s="11" t="inlineStr">
        <is>
          <t>全聯會一字第1090216</t>
        </is>
      </c>
      <c r="K76" s="10" t="inlineStr">
        <is>
          <t>北市</t>
        </is>
      </c>
      <c r="L76" s="10" t="inlineStr">
        <is>
          <t>109/06/10</t>
        </is>
      </c>
      <c r="M76" s="10" t="inlineStr">
        <is>
          <t>4255</t>
        </is>
      </c>
      <c r="N76" s="10" t="inlineStr">
        <is>
          <t>2026-06-05</t>
        </is>
      </c>
      <c r="O76" s="11" t="inlineStr">
        <is>
          <t>https://www.roccpa.org.tw/member_search/more?id=A0802C22-F4BA-4669-84FF-3E47DC587A7E</t>
        </is>
      </c>
    </row>
    <row r="77">
      <c r="A77" s="10" t="n">
        <v>76</v>
      </c>
      <c r="B77" s="11" t="inlineStr">
        <is>
          <t>勤業眾信聯合會計師事務所</t>
        </is>
      </c>
      <c r="C77" s="11" t="inlineStr">
        <is>
          <t>Deloitte 勤業眾信</t>
        </is>
      </c>
      <c r="D77" s="11" t="inlineStr">
        <is>
          <t>洪以文</t>
        </is>
      </c>
      <c r="E77" s="10" t="inlineStr">
        <is>
          <t>台北總所</t>
        </is>
      </c>
      <c r="F77" s="12" t="inlineStr">
        <is>
          <t>台北市信義區松仁路100號20樓</t>
        </is>
      </c>
      <c r="G77" s="12" t="inlineStr">
        <is>
          <t>台北市信義區松仁路100號20樓</t>
        </is>
      </c>
      <c r="H77" s="12" t="inlineStr"/>
      <c r="I77" s="10" t="inlineStr">
        <is>
          <t>114/06/18</t>
        </is>
      </c>
      <c r="J77" s="11" t="inlineStr">
        <is>
          <t>全聯會一字第1140000248號</t>
        </is>
      </c>
      <c r="K77" s="10" t="inlineStr">
        <is>
          <t>北市</t>
        </is>
      </c>
      <c r="L77" s="10" t="inlineStr">
        <is>
          <t>114/06/18</t>
        </is>
      </c>
      <c r="M77" s="10" t="inlineStr">
        <is>
          <t>4732</t>
        </is>
      </c>
      <c r="N77" s="10" t="inlineStr">
        <is>
          <t>2026-06-05</t>
        </is>
      </c>
      <c r="O77" s="11" t="inlineStr">
        <is>
          <t>https://www.roccpa.org.tw/member_search/more?id=2B12203F-81B2-4B38-8489-CD8717965D11</t>
        </is>
      </c>
    </row>
    <row r="78">
      <c r="A78" s="10" t="n">
        <v>77</v>
      </c>
      <c r="B78" s="11" t="inlineStr">
        <is>
          <t>勤業眾信聯合會計師事務所</t>
        </is>
      </c>
      <c r="C78" s="11" t="inlineStr">
        <is>
          <t>Deloitte 勤業眾信</t>
        </is>
      </c>
      <c r="D78" s="11" t="inlineStr">
        <is>
          <t>洪偉倫</t>
        </is>
      </c>
      <c r="E78" s="10" t="inlineStr">
        <is>
          <t>台北總所</t>
        </is>
      </c>
      <c r="F78" s="12" t="inlineStr">
        <is>
          <t>台北市信義區松仁路100號20樓</t>
        </is>
      </c>
      <c r="G78" s="12" t="inlineStr">
        <is>
          <t>台北市信義區松仁路100號20樓</t>
        </is>
      </c>
      <c r="H78" s="12" t="inlineStr"/>
      <c r="I78" s="10" t="inlineStr">
        <is>
          <t>114/06/18</t>
        </is>
      </c>
      <c r="J78" s="11" t="inlineStr">
        <is>
          <t>全聯會一字第1140000245號</t>
        </is>
      </c>
      <c r="K78" s="10" t="inlineStr">
        <is>
          <t>北市</t>
        </is>
      </c>
      <c r="L78" s="10" t="inlineStr">
        <is>
          <t>114/06/18</t>
        </is>
      </c>
      <c r="M78" s="10" t="inlineStr">
        <is>
          <t>4729</t>
        </is>
      </c>
      <c r="N78" s="10" t="inlineStr">
        <is>
          <t>2026-06-05</t>
        </is>
      </c>
      <c r="O78" s="11" t="inlineStr">
        <is>
          <t>https://www.roccpa.org.tw/member_search/more?id=70DD5F73-9EB0-43A4-AB4D-9FBAB6116236</t>
        </is>
      </c>
    </row>
    <row r="79">
      <c r="A79" s="10" t="n">
        <v>78</v>
      </c>
      <c r="B79" s="11" t="inlineStr">
        <is>
          <t>勤業眾信聯合會計師事務所</t>
        </is>
      </c>
      <c r="C79" s="11" t="inlineStr">
        <is>
          <t>Deloitte 勤業眾信</t>
        </is>
      </c>
      <c r="D79" s="11" t="inlineStr">
        <is>
          <t>洪國田</t>
        </is>
      </c>
      <c r="E79" s="10" t="inlineStr">
        <is>
          <t>台北總所</t>
        </is>
      </c>
      <c r="F79" s="12" t="inlineStr">
        <is>
          <t>台北市信義區松仁路100號20樓</t>
        </is>
      </c>
      <c r="G79" s="12" t="inlineStr">
        <is>
          <t>台北市信義區松仁路100號20樓</t>
        </is>
      </c>
      <c r="H79" s="12" t="inlineStr"/>
      <c r="I79" s="10" t="inlineStr"/>
      <c r="J79" s="11" t="inlineStr"/>
      <c r="K79" s="10" t="inlineStr">
        <is>
          <t>北市</t>
        </is>
      </c>
      <c r="L79" s="10" t="inlineStr">
        <is>
          <t>091/12/16</t>
        </is>
      </c>
      <c r="M79" s="10" t="inlineStr">
        <is>
          <t>2526</t>
        </is>
      </c>
      <c r="N79" s="10" t="inlineStr">
        <is>
          <t>2026-06-05</t>
        </is>
      </c>
      <c r="O79" s="11" t="inlineStr">
        <is>
          <t>https://www.roccpa.org.tw/member_search/more?id=3BFBEB63-C463-4A2E-93A6-9EF4DFA17D7C</t>
        </is>
      </c>
    </row>
    <row r="80">
      <c r="A80" s="10" t="n">
        <v>79</v>
      </c>
      <c r="B80" s="11" t="inlineStr">
        <is>
          <t>勤業眾信聯合會計師事務所</t>
        </is>
      </c>
      <c r="C80" s="11" t="inlineStr">
        <is>
          <t>Deloitte 勤業眾信</t>
        </is>
      </c>
      <c r="D80" s="11" t="inlineStr">
        <is>
          <t>洪玉美</t>
        </is>
      </c>
      <c r="E80" s="10" t="inlineStr">
        <is>
          <t>台北總所</t>
        </is>
      </c>
      <c r="F80" s="12" t="inlineStr">
        <is>
          <t>台北市信義區松仁路100號20樓</t>
        </is>
      </c>
      <c r="G80" s="12" t="inlineStr">
        <is>
          <t>台北市信義區松仁路100號20樓</t>
        </is>
      </c>
      <c r="H80" s="12" t="inlineStr"/>
      <c r="I80" s="10" t="inlineStr"/>
      <c r="J80" s="11" t="inlineStr"/>
      <c r="K80" s="10" t="inlineStr">
        <is>
          <t>北市</t>
        </is>
      </c>
      <c r="L80" s="10" t="inlineStr">
        <is>
          <t>093/11/17</t>
        </is>
      </c>
      <c r="M80" s="10" t="inlineStr">
        <is>
          <t>2694</t>
        </is>
      </c>
      <c r="N80" s="10" t="inlineStr">
        <is>
          <t>2026-06-05</t>
        </is>
      </c>
      <c r="O80" s="11" t="inlineStr">
        <is>
          <t>https://www.roccpa.org.tw/member_search/more?id=ADB36CAB-B3A7-4FF8-A7C1-DA9F415AA21D</t>
        </is>
      </c>
    </row>
    <row r="81">
      <c r="A81" s="10" t="n">
        <v>80</v>
      </c>
      <c r="B81" s="11" t="inlineStr">
        <is>
          <t>勤業眾信聯合會計師事務所</t>
        </is>
      </c>
      <c r="C81" s="11" t="inlineStr">
        <is>
          <t>Deloitte 勤業眾信</t>
        </is>
      </c>
      <c r="D81" s="11" t="inlineStr">
        <is>
          <t>王儀雯</t>
        </is>
      </c>
      <c r="E81" s="10" t="inlineStr">
        <is>
          <t>台北總所</t>
        </is>
      </c>
      <c r="F81" s="12" t="inlineStr">
        <is>
          <t>台北市信義區松仁路100號20樓</t>
        </is>
      </c>
      <c r="G81" s="12" t="inlineStr">
        <is>
          <t>台北市信義區松仁路100號20樓</t>
        </is>
      </c>
      <c r="H81" s="12" t="inlineStr"/>
      <c r="I81" s="10" t="inlineStr">
        <is>
          <t>098/05/27</t>
        </is>
      </c>
      <c r="J81" s="11" t="inlineStr">
        <is>
          <t>全聯會一字第09800196</t>
        </is>
      </c>
      <c r="K81" s="10" t="inlineStr">
        <is>
          <t>北市</t>
        </is>
      </c>
      <c r="L81" s="10" t="inlineStr">
        <is>
          <t>098/06/11</t>
        </is>
      </c>
      <c r="M81" s="10" t="inlineStr">
        <is>
          <t>3126</t>
        </is>
      </c>
      <c r="N81" s="10" t="inlineStr">
        <is>
          <t>2026-06-05</t>
        </is>
      </c>
      <c r="O81" s="11" t="inlineStr">
        <is>
          <t>https://www.roccpa.org.tw/member_search/more?id=6B510B3E-3F6E-42B9-8CB3-2695E67727DA</t>
        </is>
      </c>
    </row>
    <row r="82">
      <c r="A82" s="10" t="n">
        <v>81</v>
      </c>
      <c r="B82" s="11" t="inlineStr">
        <is>
          <t>勤業眾信聯合會計師事務所</t>
        </is>
      </c>
      <c r="C82" s="11" t="inlineStr">
        <is>
          <t>Deloitte 勤業眾信</t>
        </is>
      </c>
      <c r="D82" s="11" t="inlineStr">
        <is>
          <t>王攀發</t>
        </is>
      </c>
      <c r="E82" s="10" t="inlineStr">
        <is>
          <t>台北總所</t>
        </is>
      </c>
      <c r="F82" s="12" t="inlineStr">
        <is>
          <t>台北市信義區松仁路100號20樓</t>
        </is>
      </c>
      <c r="G82" s="12" t="inlineStr">
        <is>
          <t>台北市信義區松仁路100號20樓</t>
        </is>
      </c>
      <c r="H82" s="12" t="inlineStr"/>
      <c r="I82" s="10" t="inlineStr">
        <is>
          <t>110/06/09</t>
        </is>
      </c>
      <c r="J82" s="11" t="inlineStr">
        <is>
          <t>全聯會一字第1100222</t>
        </is>
      </c>
      <c r="K82" s="10" t="inlineStr">
        <is>
          <t>北市</t>
        </is>
      </c>
      <c r="L82" s="10" t="inlineStr">
        <is>
          <t>110/06/09</t>
        </is>
      </c>
      <c r="M82" s="10" t="inlineStr">
        <is>
          <t>4327</t>
        </is>
      </c>
      <c r="N82" s="10" t="inlineStr">
        <is>
          <t>2026-06-05</t>
        </is>
      </c>
      <c r="O82" s="11" t="inlineStr">
        <is>
          <t>https://www.roccpa.org.tw/member_search/more?id=E0DF0B17-CBC5-4D66-B2D3-A589CC5C0FC9</t>
        </is>
      </c>
    </row>
    <row r="83">
      <c r="A83" s="10" t="n">
        <v>82</v>
      </c>
      <c r="B83" s="11" t="inlineStr">
        <is>
          <t>勤業眾信聯合會計師事務所</t>
        </is>
      </c>
      <c r="C83" s="11" t="inlineStr">
        <is>
          <t>Deloitte 勤業眾信</t>
        </is>
      </c>
      <c r="D83" s="11" t="inlineStr">
        <is>
          <t>王曉琪</t>
        </is>
      </c>
      <c r="E83" s="10" t="inlineStr">
        <is>
          <t>台北總所</t>
        </is>
      </c>
      <c r="F83" s="12" t="inlineStr">
        <is>
          <t>台北市信義區松仁路100號20樓</t>
        </is>
      </c>
      <c r="G83" s="12" t="inlineStr">
        <is>
          <t>台北市信義區松仁路100號20樓</t>
        </is>
      </c>
      <c r="H83" s="12" t="inlineStr"/>
      <c r="I83" s="10" t="inlineStr">
        <is>
          <t>100/01/26</t>
        </is>
      </c>
      <c r="J83" s="11" t="inlineStr">
        <is>
          <t>全聯會一字第1000031</t>
        </is>
      </c>
      <c r="K83" s="10" t="inlineStr">
        <is>
          <t>北市</t>
        </is>
      </c>
      <c r="L83" s="10" t="inlineStr">
        <is>
          <t>100/03/08</t>
        </is>
      </c>
      <c r="M83" s="10" t="inlineStr">
        <is>
          <t>3322</t>
        </is>
      </c>
      <c r="N83" s="10" t="inlineStr">
        <is>
          <t>2026-06-05</t>
        </is>
      </c>
      <c r="O83" s="11" t="inlineStr">
        <is>
          <t>https://www.roccpa.org.tw/member_search/more?id=EF810AA3-1461-49EE-94B0-91EBD085E7CD</t>
        </is>
      </c>
    </row>
    <row r="84">
      <c r="A84" s="10" t="n">
        <v>83</v>
      </c>
      <c r="B84" s="11" t="inlineStr">
        <is>
          <t>勤業眾信聯合會計師事務所</t>
        </is>
      </c>
      <c r="C84" s="11" t="inlineStr">
        <is>
          <t>Deloitte 勤業眾信</t>
        </is>
      </c>
      <c r="D84" s="11" t="inlineStr">
        <is>
          <t>王浚宇</t>
        </is>
      </c>
      <c r="E84" s="10" t="inlineStr">
        <is>
          <t>台北總所</t>
        </is>
      </c>
      <c r="F84" s="12" t="inlineStr">
        <is>
          <t>台北市信義區松仁路100號20樓</t>
        </is>
      </c>
      <c r="G84" s="12" t="inlineStr">
        <is>
          <t>台北市信義區松仁路100號20樓</t>
        </is>
      </c>
      <c r="H84" s="12" t="inlineStr"/>
      <c r="I84" s="10" t="inlineStr">
        <is>
          <t>112/06/08</t>
        </is>
      </c>
      <c r="J84" s="11" t="inlineStr">
        <is>
          <t>全聯會一字第1120222</t>
        </is>
      </c>
      <c r="K84" s="10" t="inlineStr">
        <is>
          <t>北市</t>
        </is>
      </c>
      <c r="L84" s="10" t="inlineStr">
        <is>
          <t>112/06/08</t>
        </is>
      </c>
      <c r="M84" s="10" t="inlineStr">
        <is>
          <t>4528</t>
        </is>
      </c>
      <c r="N84" s="10" t="inlineStr">
        <is>
          <t>2026-06-05</t>
        </is>
      </c>
      <c r="O84" s="11" t="inlineStr">
        <is>
          <t>https://www.roccpa.org.tw/member_search/more?id=30388139-685D-4449-ADDF-ACD29862A8FE</t>
        </is>
      </c>
    </row>
    <row r="85">
      <c r="A85" s="10" t="n">
        <v>84</v>
      </c>
      <c r="B85" s="11" t="inlineStr">
        <is>
          <t>勤業眾信聯合會計師事務所</t>
        </is>
      </c>
      <c r="C85" s="11" t="inlineStr">
        <is>
          <t>Deloitte 勤業眾信</t>
        </is>
      </c>
      <c r="D85" s="11" t="inlineStr">
        <is>
          <t>王珮眞</t>
        </is>
      </c>
      <c r="E85" s="10" t="inlineStr">
        <is>
          <t>台北總所</t>
        </is>
      </c>
      <c r="F85" s="12" t="inlineStr">
        <is>
          <t>台北市信義區松仁路100號20樓</t>
        </is>
      </c>
      <c r="G85" s="12" t="inlineStr">
        <is>
          <t>台北市信義區松仁路100號20樓</t>
        </is>
      </c>
      <c r="H85" s="12" t="inlineStr"/>
      <c r="I85" s="10" t="inlineStr">
        <is>
          <t>113/06/19</t>
        </is>
      </c>
      <c r="J85" s="11" t="inlineStr">
        <is>
          <t>全聯會一字第1130000286號</t>
        </is>
      </c>
      <c r="K85" s="10" t="inlineStr">
        <is>
          <t>北市</t>
        </is>
      </c>
      <c r="L85" s="10" t="inlineStr">
        <is>
          <t>113/06/19</t>
        </is>
      </c>
      <c r="M85" s="10" t="inlineStr">
        <is>
          <t>4643</t>
        </is>
      </c>
      <c r="N85" s="10" t="inlineStr">
        <is>
          <t>2026-06-05</t>
        </is>
      </c>
      <c r="O85" s="11" t="inlineStr">
        <is>
          <t>https://www.roccpa.org.tw/member_search/more?id=740A426E-EDC4-4D76-ACF0-031A4460EA6A</t>
        </is>
      </c>
    </row>
    <row r="86">
      <c r="A86" s="10" t="n">
        <v>85</v>
      </c>
      <c r="B86" s="11" t="inlineStr">
        <is>
          <t>勤業眾信聯合會計師事務所</t>
        </is>
      </c>
      <c r="C86" s="11" t="inlineStr">
        <is>
          <t>Deloitte 勤業眾信</t>
        </is>
      </c>
      <c r="D86" s="11" t="inlineStr">
        <is>
          <t>王瑞鴻</t>
        </is>
      </c>
      <c r="E86" s="10" t="inlineStr">
        <is>
          <t>台北總所</t>
        </is>
      </c>
      <c r="F86" s="12" t="inlineStr">
        <is>
          <t>台北市信義區松仁路100號20樓</t>
        </is>
      </c>
      <c r="G86" s="12" t="inlineStr">
        <is>
          <t>台北市信義區松仁路100號20樓</t>
        </is>
      </c>
      <c r="H86" s="12" t="inlineStr"/>
      <c r="I86" s="10" t="inlineStr">
        <is>
          <t>109/06/10</t>
        </is>
      </c>
      <c r="J86" s="11" t="inlineStr">
        <is>
          <t>全聯會一字第1090222</t>
        </is>
      </c>
      <c r="K86" s="10" t="inlineStr">
        <is>
          <t>北市</t>
        </is>
      </c>
      <c r="L86" s="10" t="inlineStr">
        <is>
          <t>109/06/10</t>
        </is>
      </c>
      <c r="M86" s="10" t="inlineStr">
        <is>
          <t>4261</t>
        </is>
      </c>
      <c r="N86" s="10" t="inlineStr">
        <is>
          <t>2026-06-05</t>
        </is>
      </c>
      <c r="O86" s="11" t="inlineStr">
        <is>
          <t>https://www.roccpa.org.tw/member_search/more?id=EFCCD50F-0013-4233-8C39-5F629CB0E77B</t>
        </is>
      </c>
    </row>
    <row r="87">
      <c r="A87" s="10" t="n">
        <v>86</v>
      </c>
      <c r="B87" s="11" t="inlineStr">
        <is>
          <t>勤業眾信聯合會計師事務所</t>
        </is>
      </c>
      <c r="C87" s="11" t="inlineStr">
        <is>
          <t>Deloitte 勤業眾信</t>
        </is>
      </c>
      <c r="D87" s="11" t="inlineStr">
        <is>
          <t>王翔民</t>
        </is>
      </c>
      <c r="E87" s="10" t="inlineStr">
        <is>
          <t>台北總所</t>
        </is>
      </c>
      <c r="F87" s="12" t="inlineStr">
        <is>
          <t>台北市信義區松仁路100號20樓</t>
        </is>
      </c>
      <c r="G87" s="12" t="inlineStr">
        <is>
          <t>台北市信義區松仁路100號20樓</t>
        </is>
      </c>
      <c r="H87" s="12" t="inlineStr"/>
      <c r="I87" s="10" t="inlineStr">
        <is>
          <t>111/06/10</t>
        </is>
      </c>
      <c r="J87" s="11" t="inlineStr">
        <is>
          <t>全聯會一字第1110219</t>
        </is>
      </c>
      <c r="K87" s="10" t="inlineStr">
        <is>
          <t>北市</t>
        </is>
      </c>
      <c r="L87" s="10" t="inlineStr">
        <is>
          <t>111/06/10</t>
        </is>
      </c>
      <c r="M87" s="10" t="inlineStr">
        <is>
          <t>4431</t>
        </is>
      </c>
      <c r="N87" s="10" t="inlineStr">
        <is>
          <t>2026-06-05</t>
        </is>
      </c>
      <c r="O87" s="11" t="inlineStr">
        <is>
          <t>https://www.roccpa.org.tw/member_search/more?id=216AB664-1B0A-4180-9A18-809A8FC90A5F</t>
        </is>
      </c>
    </row>
    <row r="88">
      <c r="A88" s="10" t="n">
        <v>87</v>
      </c>
      <c r="B88" s="11" t="inlineStr">
        <is>
          <t>勤業眾信聯合會計師事務所</t>
        </is>
      </c>
      <c r="C88" s="11" t="inlineStr">
        <is>
          <t>Deloitte 勤業眾信</t>
        </is>
      </c>
      <c r="D88" s="11" t="inlineStr">
        <is>
          <t>簡嘉宏</t>
        </is>
      </c>
      <c r="E88" s="10" t="inlineStr">
        <is>
          <t>台北總所</t>
        </is>
      </c>
      <c r="F88" s="12" t="inlineStr">
        <is>
          <t>台北市信義區松仁路100號20樓</t>
        </is>
      </c>
      <c r="G88" s="12" t="inlineStr">
        <is>
          <t>台北市信義區松仁路100號20樓</t>
        </is>
      </c>
      <c r="H88" s="12" t="inlineStr"/>
      <c r="I88" s="10" t="inlineStr">
        <is>
          <t>115/06/15</t>
        </is>
      </c>
      <c r="J88" s="11" t="inlineStr">
        <is>
          <t>全聯會一字第1150000294號</t>
        </is>
      </c>
      <c r="K88" s="10" t="inlineStr">
        <is>
          <t>北市</t>
        </is>
      </c>
      <c r="L88" s="10" t="inlineStr">
        <is>
          <t>115/06/15</t>
        </is>
      </c>
      <c r="M88" s="10" t="inlineStr">
        <is>
          <t>4902</t>
        </is>
      </c>
      <c r="N88" s="10" t="inlineStr">
        <is>
          <t>2026-06-23</t>
        </is>
      </c>
      <c r="O88" s="11" t="inlineStr">
        <is>
          <t>https://www.roccpa.org.tw/member_search/more?id=28efaa67395b4518ba7fc27fb89f5503</t>
        </is>
      </c>
    </row>
    <row r="89">
      <c r="A89" s="10" t="n">
        <v>88</v>
      </c>
      <c r="B89" s="11" t="inlineStr">
        <is>
          <t>勤業眾信聯合會計師事務所</t>
        </is>
      </c>
      <c r="C89" s="11" t="inlineStr">
        <is>
          <t>Deloitte 勤業眾信</t>
        </is>
      </c>
      <c r="D89" s="11" t="inlineStr">
        <is>
          <t>簡明彥</t>
        </is>
      </c>
      <c r="E89" s="10" t="inlineStr">
        <is>
          <t>台北總所</t>
        </is>
      </c>
      <c r="F89" s="12" t="inlineStr">
        <is>
          <t>台北市信義區松仁路100號20樓</t>
        </is>
      </c>
      <c r="G89" s="12" t="inlineStr">
        <is>
          <t>台北市信義區松仁路100號20樓</t>
        </is>
      </c>
      <c r="H89" s="12" t="inlineStr"/>
      <c r="I89" s="10" t="inlineStr">
        <is>
          <t>100/05/25</t>
        </is>
      </c>
      <c r="J89" s="11" t="inlineStr">
        <is>
          <t>全聯會一字第1000211</t>
        </is>
      </c>
      <c r="K89" s="10" t="inlineStr">
        <is>
          <t>北市</t>
        </is>
      </c>
      <c r="L89" s="10" t="inlineStr">
        <is>
          <t>100/06/07</t>
        </is>
      </c>
      <c r="M89" s="10" t="inlineStr">
        <is>
          <t>3358</t>
        </is>
      </c>
      <c r="N89" s="10" t="inlineStr">
        <is>
          <t>2026-06-05</t>
        </is>
      </c>
      <c r="O89" s="11" t="inlineStr">
        <is>
          <t>https://www.roccpa.org.tw/member_search/more?id=E12B970D-F3F1-4444-BB78-DC2CCEB91CC0</t>
        </is>
      </c>
    </row>
    <row r="90">
      <c r="A90" s="10" t="n">
        <v>89</v>
      </c>
      <c r="B90" s="11" t="inlineStr">
        <is>
          <t>勤業眾信聯合會計師事務所</t>
        </is>
      </c>
      <c r="C90" s="11" t="inlineStr">
        <is>
          <t>Deloitte 勤業眾信</t>
        </is>
      </c>
      <c r="D90" s="11" t="inlineStr">
        <is>
          <t>翁博仁</t>
        </is>
      </c>
      <c r="E90" s="10" t="inlineStr">
        <is>
          <t>台北總所</t>
        </is>
      </c>
      <c r="F90" s="12" t="inlineStr">
        <is>
          <t>台北市信義區松仁路100號20樓</t>
        </is>
      </c>
      <c r="G90" s="12" t="inlineStr">
        <is>
          <t>台北市信義區松仁路100號20樓</t>
        </is>
      </c>
      <c r="H90" s="12" t="inlineStr"/>
      <c r="I90" s="10" t="inlineStr">
        <is>
          <t>101/06/04</t>
        </is>
      </c>
      <c r="J90" s="11" t="inlineStr">
        <is>
          <t>全聯會一字第1010174</t>
        </is>
      </c>
      <c r="K90" s="10" t="inlineStr">
        <is>
          <t>北市</t>
        </is>
      </c>
      <c r="L90" s="10" t="inlineStr">
        <is>
          <t>101/06/14</t>
        </is>
      </c>
      <c r="M90" s="10" t="inlineStr">
        <is>
          <t>3466</t>
        </is>
      </c>
      <c r="N90" s="10" t="inlineStr">
        <is>
          <t>2026-06-05</t>
        </is>
      </c>
      <c r="O90" s="11" t="inlineStr">
        <is>
          <t>https://www.roccpa.org.tw/member_search/more?id=3D4006ED-C989-4893-B61A-58473067256B</t>
        </is>
      </c>
    </row>
    <row r="91">
      <c r="A91" s="10" t="n">
        <v>90</v>
      </c>
      <c r="B91" s="11" t="inlineStr">
        <is>
          <t>勤業眾信聯合會計師事務所</t>
        </is>
      </c>
      <c r="C91" s="11" t="inlineStr">
        <is>
          <t>Deloitte 勤業眾信</t>
        </is>
      </c>
      <c r="D91" s="11" t="inlineStr">
        <is>
          <t>翁雅玲</t>
        </is>
      </c>
      <c r="E91" s="10" t="inlineStr">
        <is>
          <t>台北總所</t>
        </is>
      </c>
      <c r="F91" s="12" t="inlineStr">
        <is>
          <t>台北市信義區松仁路100號20樓</t>
        </is>
      </c>
      <c r="G91" s="12" t="inlineStr">
        <is>
          <t>台北市信義區松仁路100號20樓</t>
        </is>
      </c>
      <c r="H91" s="12" t="inlineStr"/>
      <c r="I91" s="10" t="inlineStr">
        <is>
          <t>102/06/03</t>
        </is>
      </c>
      <c r="J91" s="11" t="inlineStr">
        <is>
          <t>全聯會一字第1020214</t>
        </is>
      </c>
      <c r="K91" s="10" t="inlineStr">
        <is>
          <t>北市</t>
        </is>
      </c>
      <c r="L91" s="10" t="inlineStr">
        <is>
          <t>102/06/19</t>
        </is>
      </c>
      <c r="M91" s="10" t="inlineStr">
        <is>
          <t>3590</t>
        </is>
      </c>
      <c r="N91" s="10" t="inlineStr">
        <is>
          <t>2026-06-05</t>
        </is>
      </c>
      <c r="O91" s="11" t="inlineStr">
        <is>
          <t>https://www.roccpa.org.tw/member_search/more?id=636CD3A8-D566-440B-ADE0-0CFB8D23261C</t>
        </is>
      </c>
    </row>
    <row r="92">
      <c r="A92" s="10" t="n">
        <v>91</v>
      </c>
      <c r="B92" s="11" t="inlineStr">
        <is>
          <t>勤業眾信聯合會計師事務所</t>
        </is>
      </c>
      <c r="C92" s="11" t="inlineStr">
        <is>
          <t>Deloitte 勤業眾信</t>
        </is>
      </c>
      <c r="D92" s="11" t="inlineStr">
        <is>
          <t>胡家熀</t>
        </is>
      </c>
      <c r="E92" s="10" t="inlineStr">
        <is>
          <t>台北總所</t>
        </is>
      </c>
      <c r="F92" s="12" t="inlineStr">
        <is>
          <t>台北市信義區松仁路100號20樓</t>
        </is>
      </c>
      <c r="G92" s="12" t="inlineStr">
        <is>
          <t>台北市信義區松仁路100號20樓</t>
        </is>
      </c>
      <c r="H92" s="12" t="inlineStr"/>
      <c r="I92" s="10" t="inlineStr">
        <is>
          <t>114/06/18</t>
        </is>
      </c>
      <c r="J92" s="11" t="inlineStr">
        <is>
          <t>全聯會一字第1140000239號</t>
        </is>
      </c>
      <c r="K92" s="10" t="inlineStr">
        <is>
          <t>北市</t>
        </is>
      </c>
      <c r="L92" s="10" t="inlineStr">
        <is>
          <t>114/06/18</t>
        </is>
      </c>
      <c r="M92" s="10" t="inlineStr">
        <is>
          <t>4723</t>
        </is>
      </c>
      <c r="N92" s="10" t="inlineStr">
        <is>
          <t>2026-06-05</t>
        </is>
      </c>
      <c r="O92" s="11" t="inlineStr">
        <is>
          <t>https://www.roccpa.org.tw/member_search/more?id=73B27895-D369-4285-8339-45C487C59E00</t>
        </is>
      </c>
    </row>
    <row r="93">
      <c r="A93" s="10" t="n">
        <v>92</v>
      </c>
      <c r="B93" s="11" t="inlineStr">
        <is>
          <t>勤業眾信聯合會計師事務所</t>
        </is>
      </c>
      <c r="C93" s="11" t="inlineStr">
        <is>
          <t>Deloitte 勤業眾信</t>
        </is>
      </c>
      <c r="D93" s="11" t="inlineStr">
        <is>
          <t>胡雅如</t>
        </is>
      </c>
      <c r="E93" s="10" t="inlineStr">
        <is>
          <t>台北總所</t>
        </is>
      </c>
      <c r="F93" s="12" t="inlineStr">
        <is>
          <t>台北市信義區松仁路100號20樓</t>
        </is>
      </c>
      <c r="G93" s="12" t="inlineStr">
        <is>
          <t>台北市信義區松仁路100號20樓</t>
        </is>
      </c>
      <c r="H93" s="12" t="inlineStr"/>
      <c r="I93" s="10" t="inlineStr">
        <is>
          <t>113/06/19</t>
        </is>
      </c>
      <c r="J93" s="11" t="inlineStr">
        <is>
          <t>全聯會一字第1130000284號</t>
        </is>
      </c>
      <c r="K93" s="10" t="inlineStr">
        <is>
          <t>北市</t>
        </is>
      </c>
      <c r="L93" s="10" t="inlineStr">
        <is>
          <t>113/06/19</t>
        </is>
      </c>
      <c r="M93" s="10" t="inlineStr">
        <is>
          <t>4641</t>
        </is>
      </c>
      <c r="N93" s="10" t="inlineStr">
        <is>
          <t>2026-06-05</t>
        </is>
      </c>
      <c r="O93" s="11" t="inlineStr">
        <is>
          <t>https://www.roccpa.org.tw/member_search/more?id=92D6B11E-7969-4C5F-8824-399D60DFD96E</t>
        </is>
      </c>
    </row>
    <row r="94">
      <c r="A94" s="10" t="n">
        <v>93</v>
      </c>
      <c r="B94" s="11" t="inlineStr">
        <is>
          <t>勤業眾信聯合會計師事務所</t>
        </is>
      </c>
      <c r="C94" s="11" t="inlineStr">
        <is>
          <t>Deloitte 勤業眾信</t>
        </is>
      </c>
      <c r="D94" s="11" t="inlineStr">
        <is>
          <t>莊文源</t>
        </is>
      </c>
      <c r="E94" s="10" t="inlineStr">
        <is>
          <t>台北總所</t>
        </is>
      </c>
      <c r="F94" s="12" t="inlineStr">
        <is>
          <t>台北市信義區松仁路100號20樓</t>
        </is>
      </c>
      <c r="G94" s="12" t="inlineStr">
        <is>
          <t>台北市信義區松仁路100號20樓</t>
        </is>
      </c>
      <c r="H94" s="12" t="inlineStr"/>
      <c r="I94" s="10" t="inlineStr">
        <is>
          <t>109/06/10</t>
        </is>
      </c>
      <c r="J94" s="11" t="inlineStr">
        <is>
          <t>全聯會一字第1090219</t>
        </is>
      </c>
      <c r="K94" s="10" t="inlineStr">
        <is>
          <t>北市</t>
        </is>
      </c>
      <c r="L94" s="10" t="inlineStr">
        <is>
          <t>109/06/10</t>
        </is>
      </c>
      <c r="M94" s="10" t="inlineStr">
        <is>
          <t>4258</t>
        </is>
      </c>
      <c r="N94" s="10" t="inlineStr">
        <is>
          <t>2026-06-05</t>
        </is>
      </c>
      <c r="O94" s="11" t="inlineStr">
        <is>
          <t>https://www.roccpa.org.tw/member_search/more?id=0A6AE879-C6EE-487B-B00A-57BBBF658692</t>
        </is>
      </c>
    </row>
    <row r="95">
      <c r="A95" s="10" t="n">
        <v>94</v>
      </c>
      <c r="B95" s="11" t="inlineStr">
        <is>
          <t>勤業眾信聯合會計師事務所</t>
        </is>
      </c>
      <c r="C95" s="11" t="inlineStr">
        <is>
          <t>Deloitte 勤業眾信</t>
        </is>
      </c>
      <c r="D95" s="11" t="inlineStr">
        <is>
          <t>莊業偉</t>
        </is>
      </c>
      <c r="E95" s="10" t="inlineStr">
        <is>
          <t>台北總所</t>
        </is>
      </c>
      <c r="F95" s="12" t="inlineStr">
        <is>
          <t>台北市信義區松仁路100號20樓</t>
        </is>
      </c>
      <c r="G95" s="12" t="inlineStr">
        <is>
          <t>台北市信義區松仁路100號20樓</t>
        </is>
      </c>
      <c r="H95" s="12" t="inlineStr"/>
      <c r="I95" s="10" t="inlineStr">
        <is>
          <t>114/06/18</t>
        </is>
      </c>
      <c r="J95" s="11" t="inlineStr">
        <is>
          <t>全聯會一字第1140000242號</t>
        </is>
      </c>
      <c r="K95" s="10" t="inlineStr">
        <is>
          <t>北市</t>
        </is>
      </c>
      <c r="L95" s="10" t="inlineStr">
        <is>
          <t>114/06/18</t>
        </is>
      </c>
      <c r="M95" s="10" t="inlineStr">
        <is>
          <t>4726</t>
        </is>
      </c>
      <c r="N95" s="10" t="inlineStr">
        <is>
          <t>2026-06-05</t>
        </is>
      </c>
      <c r="O95" s="11" t="inlineStr">
        <is>
          <t>https://www.roccpa.org.tw/member_search/more?id=C62F5ED0-69A2-405E-9D65-7FBC646DA2DB</t>
        </is>
      </c>
    </row>
    <row r="96">
      <c r="A96" s="10" t="n">
        <v>95</v>
      </c>
      <c r="B96" s="11" t="inlineStr">
        <is>
          <t>勤業眾信聯合會計師事務所</t>
        </is>
      </c>
      <c r="C96" s="11" t="inlineStr">
        <is>
          <t>Deloitte 勤業眾信</t>
        </is>
      </c>
      <c r="D96" s="11" t="inlineStr">
        <is>
          <t>莊瑜敏</t>
        </is>
      </c>
      <c r="E96" s="10" t="inlineStr">
        <is>
          <t>台北總所</t>
        </is>
      </c>
      <c r="F96" s="12" t="inlineStr">
        <is>
          <t>台北市信義區松仁路100號20樓</t>
        </is>
      </c>
      <c r="G96" s="12" t="inlineStr">
        <is>
          <t>台北市信義區松仁路100號20樓</t>
        </is>
      </c>
      <c r="H96" s="12" t="inlineStr"/>
      <c r="I96" s="10" t="inlineStr">
        <is>
          <t>098/05/27</t>
        </is>
      </c>
      <c r="J96" s="11" t="inlineStr">
        <is>
          <t>全聯會一字第09800199</t>
        </is>
      </c>
      <c r="K96" s="10" t="inlineStr">
        <is>
          <t>北市</t>
        </is>
      </c>
      <c r="L96" s="10" t="inlineStr">
        <is>
          <t>098/06/11</t>
        </is>
      </c>
      <c r="M96" s="10" t="inlineStr">
        <is>
          <t>3125</t>
        </is>
      </c>
      <c r="N96" s="10" t="inlineStr">
        <is>
          <t>2026-06-05</t>
        </is>
      </c>
      <c r="O96" s="11" t="inlineStr">
        <is>
          <t>https://www.roccpa.org.tw/member_search/more?id=EA87F0E5-99F2-4A20-8188-B9E9220B68DC</t>
        </is>
      </c>
    </row>
    <row r="97">
      <c r="A97" s="10" t="n">
        <v>96</v>
      </c>
      <c r="B97" s="11" t="inlineStr">
        <is>
          <t>勤業眾信聯合會計師事務所</t>
        </is>
      </c>
      <c r="C97" s="11" t="inlineStr">
        <is>
          <t>Deloitte 勤業眾信</t>
        </is>
      </c>
      <c r="D97" s="11" t="inlineStr">
        <is>
          <t>莊碧玉</t>
        </is>
      </c>
      <c r="E97" s="10" t="inlineStr">
        <is>
          <t>台北總所</t>
        </is>
      </c>
      <c r="F97" s="12" t="inlineStr">
        <is>
          <t>台北市信義區松仁路100號20樓</t>
        </is>
      </c>
      <c r="G97" s="12" t="inlineStr">
        <is>
          <t>台北市信義區松仁路100號20樓</t>
        </is>
      </c>
      <c r="H97" s="12" t="inlineStr"/>
      <c r="I97" s="10" t="inlineStr">
        <is>
          <t>107/06/04</t>
        </is>
      </c>
      <c r="J97" s="11" t="inlineStr">
        <is>
          <t>全聯會一字第1070245</t>
        </is>
      </c>
      <c r="K97" s="10" t="inlineStr">
        <is>
          <t>北市</t>
        </is>
      </c>
      <c r="L97" s="10" t="inlineStr">
        <is>
          <t>107/06/04</t>
        </is>
      </c>
      <c r="M97" s="10" t="inlineStr">
        <is>
          <t>4104</t>
        </is>
      </c>
      <c r="N97" s="10" t="inlineStr">
        <is>
          <t>2026-06-05</t>
        </is>
      </c>
      <c r="O97" s="11" t="inlineStr">
        <is>
          <t>https://www.roccpa.org.tw/member_search/more?id=E7D51CC0-6B28-4D70-9BF3-A1D39551D922</t>
        </is>
      </c>
    </row>
    <row r="98">
      <c r="A98" s="10" t="n">
        <v>97</v>
      </c>
      <c r="B98" s="11" t="inlineStr">
        <is>
          <t>勤業眾信聯合會計師事務所</t>
        </is>
      </c>
      <c r="C98" s="11" t="inlineStr">
        <is>
          <t>Deloitte 勤業眾信</t>
        </is>
      </c>
      <c r="D98" s="11" t="inlineStr">
        <is>
          <t>葉志賢</t>
        </is>
      </c>
      <c r="E98" s="10" t="inlineStr">
        <is>
          <t>台北總所</t>
        </is>
      </c>
      <c r="F98" s="12" t="inlineStr">
        <is>
          <t>台北市信義區松仁路100號20樓</t>
        </is>
      </c>
      <c r="G98" s="12" t="inlineStr">
        <is>
          <t>台北市信義區松仁路100號20樓</t>
        </is>
      </c>
      <c r="H98" s="12" t="inlineStr"/>
      <c r="I98" s="10" t="inlineStr">
        <is>
          <t>115/06/15</t>
        </is>
      </c>
      <c r="J98" s="11" t="inlineStr">
        <is>
          <t>全聯會一字第1150000295號</t>
        </is>
      </c>
      <c r="K98" s="10" t="inlineStr">
        <is>
          <t>北市</t>
        </is>
      </c>
      <c r="L98" s="10" t="inlineStr">
        <is>
          <t>115/06/15</t>
        </is>
      </c>
      <c r="M98" s="10" t="inlineStr">
        <is>
          <t>5405</t>
        </is>
      </c>
      <c r="N98" s="10" t="inlineStr">
        <is>
          <t>2026-06-23</t>
        </is>
      </c>
      <c r="O98" s="11" t="inlineStr">
        <is>
          <t>https://www.roccpa.org.tw/member_search/more?id=b582cd8649a64abe94b12254dd374c6a</t>
        </is>
      </c>
    </row>
    <row r="99">
      <c r="A99" s="10" t="n">
        <v>98</v>
      </c>
      <c r="B99" s="11" t="inlineStr">
        <is>
          <t>勤業眾信聯合會計師事務所</t>
        </is>
      </c>
      <c r="C99" s="11" t="inlineStr">
        <is>
          <t>Deloitte 勤業眾信</t>
        </is>
      </c>
      <c r="D99" s="11" t="inlineStr">
        <is>
          <t>葉淑娟</t>
        </is>
      </c>
      <c r="E99" s="10" t="inlineStr">
        <is>
          <t>台北總所</t>
        </is>
      </c>
      <c r="F99" s="12" t="inlineStr">
        <is>
          <t>台北市信義區松仁路100號20樓</t>
        </is>
      </c>
      <c r="G99" s="12" t="inlineStr">
        <is>
          <t>台北市信義區松仁路100號20樓</t>
        </is>
      </c>
      <c r="H99" s="12" t="inlineStr"/>
      <c r="I99" s="10" t="inlineStr">
        <is>
          <t>099/05/25</t>
        </is>
      </c>
      <c r="J99" s="11" t="inlineStr">
        <is>
          <t>全聯會一字第09900255</t>
        </is>
      </c>
      <c r="K99" s="10" t="inlineStr">
        <is>
          <t>北市</t>
        </is>
      </c>
      <c r="L99" s="10" t="inlineStr">
        <is>
          <t>099/06/04</t>
        </is>
      </c>
      <c r="M99" s="10" t="inlineStr">
        <is>
          <t>3230</t>
        </is>
      </c>
      <c r="N99" s="10" t="inlineStr">
        <is>
          <t>2026-06-05</t>
        </is>
      </c>
      <c r="O99" s="11" t="inlineStr">
        <is>
          <t>https://www.roccpa.org.tw/member_search/more?id=63D09724-6C7A-4177-93BE-65CA61BCBCB4</t>
        </is>
      </c>
    </row>
    <row r="100">
      <c r="A100" s="10" t="n">
        <v>99</v>
      </c>
      <c r="B100" s="11" t="inlineStr">
        <is>
          <t>勤業眾信聯合會計師事務所</t>
        </is>
      </c>
      <c r="C100" s="11" t="inlineStr">
        <is>
          <t>Deloitte 勤業眾信</t>
        </is>
      </c>
      <c r="D100" s="11" t="inlineStr">
        <is>
          <t>蔡侑玲</t>
        </is>
      </c>
      <c r="E100" s="10" t="inlineStr">
        <is>
          <t>台北總所</t>
        </is>
      </c>
      <c r="F100" s="12" t="inlineStr">
        <is>
          <t>台北市信義區松仁路100號20樓</t>
        </is>
      </c>
      <c r="G100" s="12" t="inlineStr">
        <is>
          <t>台北市信義區松仁路100號20樓</t>
        </is>
      </c>
      <c r="H100" s="12" t="inlineStr"/>
      <c r="I100" s="10" t="inlineStr">
        <is>
          <t>110/06/09</t>
        </is>
      </c>
      <c r="J100" s="11" t="inlineStr">
        <is>
          <t>全聯會一字第1100226</t>
        </is>
      </c>
      <c r="K100" s="10" t="inlineStr">
        <is>
          <t>北市</t>
        </is>
      </c>
      <c r="L100" s="10" t="inlineStr">
        <is>
          <t>110/06/09</t>
        </is>
      </c>
      <c r="M100" s="10" t="inlineStr">
        <is>
          <t>4331</t>
        </is>
      </c>
      <c r="N100" s="10" t="inlineStr">
        <is>
          <t>2026-06-05</t>
        </is>
      </c>
      <c r="O100" s="11" t="inlineStr">
        <is>
          <t>https://www.roccpa.org.tw/member_search/more?id=F6076B71-16C1-4AFE-9440-B23CA46D8DE8</t>
        </is>
      </c>
    </row>
    <row r="101">
      <c r="A101" s="10" t="n">
        <v>100</v>
      </c>
      <c r="B101" s="11" t="inlineStr">
        <is>
          <t>勤業眾信聯合會計師事務所</t>
        </is>
      </c>
      <c r="C101" s="11" t="inlineStr">
        <is>
          <t>Deloitte 勤業眾信</t>
        </is>
      </c>
      <c r="D101" s="11" t="inlineStr">
        <is>
          <t>蔡宗遠</t>
        </is>
      </c>
      <c r="E101" s="10" t="inlineStr">
        <is>
          <t>台北總所</t>
        </is>
      </c>
      <c r="F101" s="12" t="inlineStr">
        <is>
          <t>台北市信義區松仁路100號20樓</t>
        </is>
      </c>
      <c r="G101" s="12" t="inlineStr">
        <is>
          <t>台北市信義區松仁路100號20樓</t>
        </is>
      </c>
      <c r="H101" s="12" t="inlineStr"/>
      <c r="I101" s="10" t="inlineStr">
        <is>
          <t>113/06/19</t>
        </is>
      </c>
      <c r="J101" s="11" t="inlineStr">
        <is>
          <t>全聯會一字第1130000281號</t>
        </is>
      </c>
      <c r="K101" s="10" t="inlineStr">
        <is>
          <t>北市</t>
        </is>
      </c>
      <c r="L101" s="10" t="inlineStr">
        <is>
          <t>113/06/19</t>
        </is>
      </c>
      <c r="M101" s="10" t="inlineStr">
        <is>
          <t>4638</t>
        </is>
      </c>
      <c r="N101" s="10" t="inlineStr">
        <is>
          <t>2026-06-05</t>
        </is>
      </c>
      <c r="O101" s="11" t="inlineStr">
        <is>
          <t>https://www.roccpa.org.tw/member_search/more?id=6921A4A5-5B96-4570-8F26-60CFBC344AEA</t>
        </is>
      </c>
    </row>
    <row r="102">
      <c r="A102" s="10" t="n">
        <v>101</v>
      </c>
      <c r="B102" s="11" t="inlineStr">
        <is>
          <t>勤業眾信聯合會計師事務所</t>
        </is>
      </c>
      <c r="C102" s="11" t="inlineStr">
        <is>
          <t>Deloitte 勤業眾信</t>
        </is>
      </c>
      <c r="D102" s="11" t="inlineStr">
        <is>
          <t>蔡沛成</t>
        </is>
      </c>
      <c r="E102" s="10" t="inlineStr">
        <is>
          <t>台北總所</t>
        </is>
      </c>
      <c r="F102" s="12" t="inlineStr">
        <is>
          <t>台北市信義區松仁路100號20樓</t>
        </is>
      </c>
      <c r="G102" s="12" t="inlineStr">
        <is>
          <t>台北市信義區松仁路100號20樓</t>
        </is>
      </c>
      <c r="H102" s="12" t="inlineStr"/>
      <c r="I102" s="10" t="inlineStr">
        <is>
          <t>115/04/13</t>
        </is>
      </c>
      <c r="J102" s="11" t="inlineStr">
        <is>
          <t>全聯會一字第1150000189號</t>
        </is>
      </c>
      <c r="K102" s="10" t="inlineStr">
        <is>
          <t>北市</t>
        </is>
      </c>
      <c r="L102" s="10" t="inlineStr">
        <is>
          <t>115/04/13</t>
        </is>
      </c>
      <c r="M102" s="10" t="inlineStr">
        <is>
          <t>4882</t>
        </is>
      </c>
      <c r="N102" s="10" t="inlineStr">
        <is>
          <t>2026-06-05</t>
        </is>
      </c>
      <c r="O102" s="11" t="inlineStr">
        <is>
          <t>https://www.roccpa.org.tw/member_search/more?id=6AC6ECFB-AC12-48AD-9031-9B05C2E119E5</t>
        </is>
      </c>
    </row>
    <row r="103">
      <c r="A103" s="10" t="n">
        <v>102</v>
      </c>
      <c r="B103" s="11" t="inlineStr">
        <is>
          <t>勤業眾信聯合會計師事務所</t>
        </is>
      </c>
      <c r="C103" s="11" t="inlineStr">
        <is>
          <t>Deloitte 勤業眾信</t>
        </is>
      </c>
      <c r="D103" s="11" t="inlineStr">
        <is>
          <t>薛峻泯</t>
        </is>
      </c>
      <c r="E103" s="10" t="inlineStr">
        <is>
          <t>台北總所</t>
        </is>
      </c>
      <c r="F103" s="12" t="inlineStr">
        <is>
          <t>台北市信義區松仁路100號20樓</t>
        </is>
      </c>
      <c r="G103" s="12" t="inlineStr">
        <is>
          <t>台北市信義區松仁路100號20樓</t>
        </is>
      </c>
      <c r="H103" s="12" t="inlineStr"/>
      <c r="I103" s="10" t="inlineStr">
        <is>
          <t>105/06/01</t>
        </is>
      </c>
      <c r="J103" s="11" t="inlineStr">
        <is>
          <t>全聯會一字第1050249</t>
        </is>
      </c>
      <c r="K103" s="10" t="inlineStr">
        <is>
          <t>北市</t>
        </is>
      </c>
      <c r="L103" s="10" t="inlineStr">
        <is>
          <t>105/06/06</t>
        </is>
      </c>
      <c r="M103" s="10" t="inlineStr">
        <is>
          <t>3935</t>
        </is>
      </c>
      <c r="N103" s="10" t="inlineStr">
        <is>
          <t>2026-06-05</t>
        </is>
      </c>
      <c r="O103" s="11" t="inlineStr">
        <is>
          <t>https://www.roccpa.org.tw/member_search/more?id=B2F4BE25-8182-4847-9F4C-311442796B4A</t>
        </is>
      </c>
    </row>
    <row r="104">
      <c r="A104" s="10" t="n">
        <v>103</v>
      </c>
      <c r="B104" s="11" t="inlineStr">
        <is>
          <t>勤業眾信聯合會計師事務所</t>
        </is>
      </c>
      <c r="C104" s="11" t="inlineStr">
        <is>
          <t>Deloitte 勤業眾信</t>
        </is>
      </c>
      <c r="D104" s="11" t="inlineStr">
        <is>
          <t>蘇郁琇</t>
        </is>
      </c>
      <c r="E104" s="10" t="inlineStr">
        <is>
          <t>台北總所</t>
        </is>
      </c>
      <c r="F104" s="12" t="inlineStr">
        <is>
          <t>台北市信義區松仁路100號20樓</t>
        </is>
      </c>
      <c r="G104" s="12" t="inlineStr">
        <is>
          <t>台北市信義區松仁路100號20樓</t>
        </is>
      </c>
      <c r="H104" s="12" t="inlineStr"/>
      <c r="I104" s="10" t="inlineStr">
        <is>
          <t>104/06/01</t>
        </is>
      </c>
      <c r="J104" s="11" t="inlineStr">
        <is>
          <t>全聯會一字第1040175</t>
        </is>
      </c>
      <c r="K104" s="10" t="inlineStr">
        <is>
          <t>北市</t>
        </is>
      </c>
      <c r="L104" s="10" t="inlineStr">
        <is>
          <t>104/07/01</t>
        </is>
      </c>
      <c r="M104" s="10" t="inlineStr">
        <is>
          <t>3841</t>
        </is>
      </c>
      <c r="N104" s="10" t="inlineStr">
        <is>
          <t>2026-06-05</t>
        </is>
      </c>
      <c r="O104" s="11" t="inlineStr">
        <is>
          <t>https://www.roccpa.org.tw/member_search/more?id=536A1992-398B-457A-92D2-208123562E3F</t>
        </is>
      </c>
    </row>
    <row r="105">
      <c r="A105" s="10" t="n">
        <v>104</v>
      </c>
      <c r="B105" s="11" t="inlineStr">
        <is>
          <t>勤業眾信聯合會計師事務所</t>
        </is>
      </c>
      <c r="C105" s="11" t="inlineStr">
        <is>
          <t>Deloitte 勤業眾信</t>
        </is>
      </c>
      <c r="D105" s="11" t="inlineStr">
        <is>
          <t>虞成全</t>
        </is>
      </c>
      <c r="E105" s="10" t="inlineStr">
        <is>
          <t>台北總所</t>
        </is>
      </c>
      <c r="F105" s="12" t="inlineStr">
        <is>
          <t>台北市信義區松仁路100號20樓</t>
        </is>
      </c>
      <c r="G105" s="12" t="inlineStr">
        <is>
          <t>台北市信義區松仁路100號20樓</t>
        </is>
      </c>
      <c r="H105" s="12" t="inlineStr"/>
      <c r="I105" s="10" t="inlineStr"/>
      <c r="J105" s="11" t="inlineStr"/>
      <c r="K105" s="10" t="inlineStr">
        <is>
          <t>北市</t>
        </is>
      </c>
      <c r="L105" s="10" t="inlineStr">
        <is>
          <t>093/06/10</t>
        </is>
      </c>
      <c r="M105" s="10" t="inlineStr">
        <is>
          <t>2645</t>
        </is>
      </c>
      <c r="N105" s="10" t="inlineStr">
        <is>
          <t>2026-06-05</t>
        </is>
      </c>
      <c r="O105" s="11" t="inlineStr">
        <is>
          <t>https://www.roccpa.org.tw/member_search/more?id=6A83004B-CB4B-44C5-BBE3-F459B29E46B8</t>
        </is>
      </c>
    </row>
    <row r="106">
      <c r="A106" s="10" t="n">
        <v>105</v>
      </c>
      <c r="B106" s="11" t="inlineStr">
        <is>
          <t>勤業眾信聯合會計師事務所</t>
        </is>
      </c>
      <c r="C106" s="11" t="inlineStr">
        <is>
          <t>Deloitte 勤業眾信</t>
        </is>
      </c>
      <c r="D106" s="11" t="inlineStr">
        <is>
          <t>袁金蘭</t>
        </is>
      </c>
      <c r="E106" s="10" t="inlineStr">
        <is>
          <t>台北總所</t>
        </is>
      </c>
      <c r="F106" s="12" t="inlineStr">
        <is>
          <t>台北市信義區松仁路100號20樓</t>
        </is>
      </c>
      <c r="G106" s="12" t="inlineStr">
        <is>
          <t>台北市信義區松仁路100號20樓</t>
        </is>
      </c>
      <c r="H106" s="12" t="inlineStr"/>
      <c r="I106" s="10" t="inlineStr"/>
      <c r="J106" s="11" t="inlineStr"/>
      <c r="K106" s="10" t="inlineStr">
        <is>
          <t>北市</t>
        </is>
      </c>
      <c r="L106" s="10" t="inlineStr">
        <is>
          <t>086/02/18</t>
        </is>
      </c>
      <c r="M106" s="10" t="inlineStr">
        <is>
          <t>1901</t>
        </is>
      </c>
      <c r="N106" s="10" t="inlineStr">
        <is>
          <t>2026-06-05</t>
        </is>
      </c>
      <c r="O106" s="11" t="inlineStr">
        <is>
          <t>https://www.roccpa.org.tw/member_search/more?id=B6CDC3E5-E73C-4CA2-951D-13CAA8D50202</t>
        </is>
      </c>
    </row>
    <row r="107">
      <c r="A107" s="10" t="n">
        <v>106</v>
      </c>
      <c r="B107" s="11" t="inlineStr">
        <is>
          <t>勤業眾信聯合會計師事務所</t>
        </is>
      </c>
      <c r="C107" s="11" t="inlineStr">
        <is>
          <t>Deloitte 勤業眾信</t>
        </is>
      </c>
      <c r="D107" s="11" t="inlineStr">
        <is>
          <t>褚世蘭</t>
        </is>
      </c>
      <c r="E107" s="10" t="inlineStr">
        <is>
          <t>台北總所</t>
        </is>
      </c>
      <c r="F107" s="12" t="inlineStr">
        <is>
          <t>台北市信義區松仁路100號20樓</t>
        </is>
      </c>
      <c r="G107" s="12" t="inlineStr">
        <is>
          <t>台北市信義區松仁路100號20樓</t>
        </is>
      </c>
      <c r="H107" s="12" t="inlineStr"/>
      <c r="I107" s="10" t="inlineStr">
        <is>
          <t>112/06/08</t>
        </is>
      </c>
      <c r="J107" s="11" t="inlineStr">
        <is>
          <t>全聯會一字第1120223</t>
        </is>
      </c>
      <c r="K107" s="10" t="inlineStr">
        <is>
          <t>北市</t>
        </is>
      </c>
      <c r="L107" s="10" t="inlineStr">
        <is>
          <t>112/06/08</t>
        </is>
      </c>
      <c r="M107" s="10" t="inlineStr">
        <is>
          <t>4529</t>
        </is>
      </c>
      <c r="N107" s="10" t="inlineStr">
        <is>
          <t>2026-06-05</t>
        </is>
      </c>
      <c r="O107" s="11" t="inlineStr">
        <is>
          <t>https://www.roccpa.org.tw/member_search/more?id=EB158624-2C3E-48C5-B84C-3EECC8E0B364</t>
        </is>
      </c>
    </row>
    <row r="108">
      <c r="A108" s="10" t="n">
        <v>107</v>
      </c>
      <c r="B108" s="11" t="inlineStr">
        <is>
          <t>勤業眾信聯合會計師事務所</t>
        </is>
      </c>
      <c r="C108" s="11" t="inlineStr">
        <is>
          <t>Deloitte 勤業眾信</t>
        </is>
      </c>
      <c r="D108" s="11" t="inlineStr">
        <is>
          <t>許嘉銘</t>
        </is>
      </c>
      <c r="E108" s="10" t="inlineStr">
        <is>
          <t>台北總所</t>
        </is>
      </c>
      <c r="F108" s="12" t="inlineStr">
        <is>
          <t>台北市信義區松仁路100號20樓</t>
        </is>
      </c>
      <c r="G108" s="12" t="inlineStr">
        <is>
          <t>台北市信義區松仁路100號20樓</t>
        </is>
      </c>
      <c r="H108" s="12" t="inlineStr"/>
      <c r="I108" s="10" t="inlineStr">
        <is>
          <t>109/06/10</t>
        </is>
      </c>
      <c r="J108" s="11" t="inlineStr">
        <is>
          <t>全聯會一字第1090220</t>
        </is>
      </c>
      <c r="K108" s="10" t="inlineStr">
        <is>
          <t>北市</t>
        </is>
      </c>
      <c r="L108" s="10" t="inlineStr">
        <is>
          <t>109/06/10</t>
        </is>
      </c>
      <c r="M108" s="10" t="inlineStr">
        <is>
          <t>4259</t>
        </is>
      </c>
      <c r="N108" s="10" t="inlineStr">
        <is>
          <t>2026-06-05</t>
        </is>
      </c>
      <c r="O108" s="11" t="inlineStr">
        <is>
          <t>https://www.roccpa.org.tw/member_search/more?id=888ADCE9-0C22-4D7D-BA31-74553037AD6E</t>
        </is>
      </c>
    </row>
    <row r="109">
      <c r="A109" s="10" t="n">
        <v>108</v>
      </c>
      <c r="B109" s="11" t="inlineStr">
        <is>
          <t>勤業眾信聯合會計師事務所</t>
        </is>
      </c>
      <c r="C109" s="11" t="inlineStr">
        <is>
          <t>Deloitte 勤業眾信</t>
        </is>
      </c>
      <c r="D109" s="11" t="inlineStr">
        <is>
          <t>許晉銘</t>
        </is>
      </c>
      <c r="E109" s="10" t="inlineStr">
        <is>
          <t>台北總所</t>
        </is>
      </c>
      <c r="F109" s="12" t="inlineStr">
        <is>
          <t>台北市信義區松仁路100號20樓</t>
        </is>
      </c>
      <c r="G109" s="12" t="inlineStr">
        <is>
          <t>台北市信義區松仁路100號20樓</t>
        </is>
      </c>
      <c r="H109" s="12" t="inlineStr"/>
      <c r="I109" s="10" t="inlineStr"/>
      <c r="J109" s="11" t="inlineStr"/>
      <c r="K109" s="10" t="inlineStr">
        <is>
          <t>北市</t>
        </is>
      </c>
      <c r="L109" s="10" t="inlineStr">
        <is>
          <t>093/06/10</t>
        </is>
      </c>
      <c r="M109" s="10" t="inlineStr">
        <is>
          <t>2648</t>
        </is>
      </c>
      <c r="N109" s="10" t="inlineStr">
        <is>
          <t>2026-06-05</t>
        </is>
      </c>
      <c r="O109" s="11" t="inlineStr">
        <is>
          <t>https://www.roccpa.org.tw/member_search/more?id=DBB022D6-28E3-4793-8586-7B8F494FFBAA</t>
        </is>
      </c>
    </row>
    <row r="110">
      <c r="A110" s="10" t="n">
        <v>109</v>
      </c>
      <c r="B110" s="11" t="inlineStr">
        <is>
          <t>勤業眾信聯合會計師事務所</t>
        </is>
      </c>
      <c r="C110" s="11" t="inlineStr">
        <is>
          <t>Deloitte 勤業眾信</t>
        </is>
      </c>
      <c r="D110" s="11" t="inlineStr">
        <is>
          <t>許秀明</t>
        </is>
      </c>
      <c r="E110" s="10" t="inlineStr">
        <is>
          <t>台北總所</t>
        </is>
      </c>
      <c r="F110" s="12" t="inlineStr">
        <is>
          <t>台北市信義區松仁路100號20樓</t>
        </is>
      </c>
      <c r="G110" s="12" t="inlineStr">
        <is>
          <t>台北市信義區松仁路100號20樓</t>
        </is>
      </c>
      <c r="H110" s="12" t="inlineStr"/>
      <c r="I110" s="10" t="inlineStr"/>
      <c r="J110" s="11" t="inlineStr"/>
      <c r="K110" s="10" t="inlineStr">
        <is>
          <t>北市</t>
        </is>
      </c>
      <c r="L110" s="10" t="inlineStr">
        <is>
          <t>087/11/17</t>
        </is>
      </c>
      <c r="M110" s="10" t="inlineStr">
        <is>
          <t>2100</t>
        </is>
      </c>
      <c r="N110" s="10" t="inlineStr">
        <is>
          <t>2026-06-05</t>
        </is>
      </c>
      <c r="O110" s="11" t="inlineStr">
        <is>
          <t>https://www.roccpa.org.tw/member_search/more?id=0D81EFDA-ACB5-403A-A9A3-D1351F004EE8</t>
        </is>
      </c>
    </row>
    <row r="111">
      <c r="A111" s="10" t="n">
        <v>110</v>
      </c>
      <c r="B111" s="11" t="inlineStr">
        <is>
          <t>勤業眾信聯合會計師事務所</t>
        </is>
      </c>
      <c r="C111" s="11" t="inlineStr">
        <is>
          <t>Deloitte 勤業眾信</t>
        </is>
      </c>
      <c r="D111" s="11" t="inlineStr">
        <is>
          <t>謝建新</t>
        </is>
      </c>
      <c r="E111" s="10" t="inlineStr">
        <is>
          <t>台北總所</t>
        </is>
      </c>
      <c r="F111" s="12" t="inlineStr">
        <is>
          <t>台北市信義區松仁路100號20樓</t>
        </is>
      </c>
      <c r="G111" s="12" t="inlineStr">
        <is>
          <t>台北市信義區松仁路100號20樓</t>
        </is>
      </c>
      <c r="H111" s="12" t="inlineStr"/>
      <c r="I111" s="10" t="inlineStr"/>
      <c r="J111" s="11" t="inlineStr"/>
      <c r="K111" s="10" t="inlineStr">
        <is>
          <t>北市</t>
        </is>
      </c>
      <c r="L111" s="10" t="inlineStr">
        <is>
          <t>090/07/12</t>
        </is>
      </c>
      <c r="M111" s="10" t="inlineStr">
        <is>
          <t>2368</t>
        </is>
      </c>
      <c r="N111" s="10" t="inlineStr">
        <is>
          <t>2026-06-05</t>
        </is>
      </c>
      <c r="O111" s="11" t="inlineStr">
        <is>
          <t>https://www.roccpa.org.tw/member_search/more?id=92811800-052E-4554-92DA-5CCCC102D00D</t>
        </is>
      </c>
    </row>
    <row r="112">
      <c r="A112" s="10" t="n">
        <v>111</v>
      </c>
      <c r="B112" s="11" t="inlineStr">
        <is>
          <t>勤業眾信聯合會計師事務所</t>
        </is>
      </c>
      <c r="C112" s="11" t="inlineStr">
        <is>
          <t>Deloitte 勤業眾信</t>
        </is>
      </c>
      <c r="D112" s="11" t="inlineStr">
        <is>
          <t>謝明忠</t>
        </is>
      </c>
      <c r="E112" s="10" t="inlineStr">
        <is>
          <t>台北總所</t>
        </is>
      </c>
      <c r="F112" s="12" t="inlineStr">
        <is>
          <t>台北市信義區松仁路100號20樓</t>
        </is>
      </c>
      <c r="G112" s="12" t="inlineStr">
        <is>
          <t>台北市信義區松仁路100號20樓</t>
        </is>
      </c>
      <c r="H112" s="12" t="inlineStr"/>
      <c r="I112" s="10" t="inlineStr">
        <is>
          <t>100/05/25</t>
        </is>
      </c>
      <c r="J112" s="11" t="inlineStr">
        <is>
          <t>全聯會一字第1000209</t>
        </is>
      </c>
      <c r="K112" s="10" t="inlineStr">
        <is>
          <t>北市</t>
        </is>
      </c>
      <c r="L112" s="10" t="inlineStr">
        <is>
          <t>100/06/07</t>
        </is>
      </c>
      <c r="M112" s="10" t="inlineStr">
        <is>
          <t>3356</t>
        </is>
      </c>
      <c r="N112" s="10" t="inlineStr">
        <is>
          <t>2026-06-05</t>
        </is>
      </c>
      <c r="O112" s="11" t="inlineStr">
        <is>
          <t>https://www.roccpa.org.tw/member_search/more?id=59205CA6-E1EA-4115-BEBF-A8203C628F3D</t>
        </is>
      </c>
    </row>
    <row r="113">
      <c r="A113" s="10" t="n">
        <v>112</v>
      </c>
      <c r="B113" s="11" t="inlineStr">
        <is>
          <t>勤業眾信聯合會計師事務所</t>
        </is>
      </c>
      <c r="C113" s="11" t="inlineStr">
        <is>
          <t>Deloitte 勤業眾信</t>
        </is>
      </c>
      <c r="D113" s="11" t="inlineStr">
        <is>
          <t>謝東儒</t>
        </is>
      </c>
      <c r="E113" s="10" t="inlineStr">
        <is>
          <t>台北總所</t>
        </is>
      </c>
      <c r="F113" s="12" t="inlineStr">
        <is>
          <t>台北市信義區松仁路100號20樓</t>
        </is>
      </c>
      <c r="G113" s="12" t="inlineStr">
        <is>
          <t>台北市信義區松仁路100號20樓</t>
        </is>
      </c>
      <c r="H113" s="12" t="inlineStr"/>
      <c r="I113" s="10" t="inlineStr">
        <is>
          <t>109/06/10</t>
        </is>
      </c>
      <c r="J113" s="11" t="inlineStr">
        <is>
          <t>全聯會一字第1090218</t>
        </is>
      </c>
      <c r="K113" s="10" t="inlineStr">
        <is>
          <t>北市</t>
        </is>
      </c>
      <c r="L113" s="10" t="inlineStr">
        <is>
          <t>109/06/10</t>
        </is>
      </c>
      <c r="M113" s="10" t="inlineStr">
        <is>
          <t>4257</t>
        </is>
      </c>
      <c r="N113" s="10" t="inlineStr">
        <is>
          <t>2026-06-05</t>
        </is>
      </c>
      <c r="O113" s="11" t="inlineStr">
        <is>
          <t>https://www.roccpa.org.tw/member_search/more?id=18408570-7080-470C-A063-ED10FDCFEF01</t>
        </is>
      </c>
    </row>
    <row r="114">
      <c r="A114" s="10" t="n">
        <v>113</v>
      </c>
      <c r="B114" s="11" t="inlineStr">
        <is>
          <t>勤業眾信聯合會計師事務所</t>
        </is>
      </c>
      <c r="C114" s="11" t="inlineStr">
        <is>
          <t>Deloitte 勤業眾信</t>
        </is>
      </c>
      <c r="D114" s="11" t="inlineStr">
        <is>
          <t>謝穎維</t>
        </is>
      </c>
      <c r="E114" s="10" t="inlineStr">
        <is>
          <t>台北總所</t>
        </is>
      </c>
      <c r="F114" s="12" t="inlineStr">
        <is>
          <t>台北市信義區松仁路100號20樓</t>
        </is>
      </c>
      <c r="G114" s="12" t="inlineStr">
        <is>
          <t>台北市信義區松仁路100號20樓</t>
        </is>
      </c>
      <c r="H114" s="12" t="inlineStr"/>
      <c r="I114" s="10" t="inlineStr">
        <is>
          <t>113/06/19</t>
        </is>
      </c>
      <c r="J114" s="11" t="inlineStr">
        <is>
          <t>全聯會一字第1130000283號</t>
        </is>
      </c>
      <c r="K114" s="10" t="inlineStr">
        <is>
          <t>北市</t>
        </is>
      </c>
      <c r="L114" s="10" t="inlineStr">
        <is>
          <t>113/06/19</t>
        </is>
      </c>
      <c r="M114" s="10" t="inlineStr">
        <is>
          <t>4640</t>
        </is>
      </c>
      <c r="N114" s="10" t="inlineStr">
        <is>
          <t>2026-06-05</t>
        </is>
      </c>
      <c r="O114" s="11" t="inlineStr">
        <is>
          <t>https://www.roccpa.org.tw/member_search/more?id=63B94E50-C857-4375-BBF5-6EC7873F75FD</t>
        </is>
      </c>
    </row>
    <row r="115">
      <c r="A115" s="10" t="n">
        <v>114</v>
      </c>
      <c r="B115" s="11" t="inlineStr">
        <is>
          <t>勤業眾信聯合會計師事務所</t>
        </is>
      </c>
      <c r="C115" s="11" t="inlineStr">
        <is>
          <t>Deloitte 勤業眾信</t>
        </is>
      </c>
      <c r="D115" s="11" t="inlineStr">
        <is>
          <t>賴柏勳</t>
        </is>
      </c>
      <c r="E115" s="10" t="inlineStr">
        <is>
          <t>台北總所</t>
        </is>
      </c>
      <c r="F115" s="12" t="inlineStr">
        <is>
          <t>台北市信義區松仁路100號20樓</t>
        </is>
      </c>
      <c r="G115" s="12" t="inlineStr">
        <is>
          <t>台北市信義區松仁路100號20樓</t>
        </is>
      </c>
      <c r="H115" s="12" t="inlineStr"/>
      <c r="I115" s="10" t="inlineStr">
        <is>
          <t>113/09/02</t>
        </is>
      </c>
      <c r="J115" s="11" t="inlineStr">
        <is>
          <t>全聯會一字第1130000401號</t>
        </is>
      </c>
      <c r="K115" s="10" t="inlineStr">
        <is>
          <t>北市</t>
        </is>
      </c>
      <c r="L115" s="10" t="inlineStr">
        <is>
          <t>113/09/02</t>
        </is>
      </c>
      <c r="M115" s="10" t="inlineStr">
        <is>
          <t>4662</t>
        </is>
      </c>
      <c r="N115" s="10" t="inlineStr">
        <is>
          <t>2026-06-05</t>
        </is>
      </c>
      <c r="O115" s="11" t="inlineStr">
        <is>
          <t>https://www.roccpa.org.tw/member_search/more?id=7E3A0093-C567-4279-A6C7-A33F454E7857</t>
        </is>
      </c>
    </row>
    <row r="116">
      <c r="A116" s="10" t="n">
        <v>115</v>
      </c>
      <c r="B116" s="11" t="inlineStr">
        <is>
          <t>勤業眾信聯合會計師事務所</t>
        </is>
      </c>
      <c r="C116" s="11" t="inlineStr">
        <is>
          <t>Deloitte 勤業眾信</t>
        </is>
      </c>
      <c r="D116" s="11" t="inlineStr">
        <is>
          <t>趙永祥</t>
        </is>
      </c>
      <c r="E116" s="10" t="inlineStr">
        <is>
          <t>台北總所</t>
        </is>
      </c>
      <c r="F116" s="12" t="inlineStr">
        <is>
          <t>台北市信義區松仁路100號20樓</t>
        </is>
      </c>
      <c r="G116" s="12" t="inlineStr">
        <is>
          <t>台北市信義區松仁路100號20樓</t>
        </is>
      </c>
      <c r="H116" s="12" t="inlineStr"/>
      <c r="I116" s="10" t="inlineStr">
        <is>
          <t>105/06/01</t>
        </is>
      </c>
      <c r="J116" s="11" t="inlineStr">
        <is>
          <t>全聯會一字第1050252</t>
        </is>
      </c>
      <c r="K116" s="10" t="inlineStr">
        <is>
          <t>北市</t>
        </is>
      </c>
      <c r="L116" s="10" t="inlineStr">
        <is>
          <t>105/06/13</t>
        </is>
      </c>
      <c r="M116" s="10" t="inlineStr">
        <is>
          <t>3939</t>
        </is>
      </c>
      <c r="N116" s="10" t="inlineStr">
        <is>
          <t>2026-06-05</t>
        </is>
      </c>
      <c r="O116" s="11" t="inlineStr">
        <is>
          <t>https://www.roccpa.org.tw/member_search/more?id=FBB758CB-54E4-4174-8C87-31FD7AFC27AC</t>
        </is>
      </c>
    </row>
    <row r="117">
      <c r="A117" s="10" t="n">
        <v>116</v>
      </c>
      <c r="B117" s="11" t="inlineStr">
        <is>
          <t>勤業眾信聯合會計師事務所</t>
        </is>
      </c>
      <c r="C117" s="11" t="inlineStr">
        <is>
          <t>Deloitte 勤業眾信</t>
        </is>
      </c>
      <c r="D117" s="11" t="inlineStr">
        <is>
          <t>辛宥呈</t>
        </is>
      </c>
      <c r="E117" s="10" t="inlineStr">
        <is>
          <t>台北總所</t>
        </is>
      </c>
      <c r="F117" s="12" t="inlineStr">
        <is>
          <t>台北市信義區松仁路100號20樓</t>
        </is>
      </c>
      <c r="G117" s="12" t="inlineStr">
        <is>
          <t>台北市信義區松仁路100號20樓</t>
        </is>
      </c>
      <c r="H117" s="12" t="inlineStr"/>
      <c r="I117" s="10" t="inlineStr">
        <is>
          <t>112/06/08</t>
        </is>
      </c>
      <c r="J117" s="11" t="inlineStr">
        <is>
          <t>全聯會一字第1120219</t>
        </is>
      </c>
      <c r="K117" s="10" t="inlineStr">
        <is>
          <t>北市</t>
        </is>
      </c>
      <c r="L117" s="10" t="inlineStr">
        <is>
          <t>112/06/08</t>
        </is>
      </c>
      <c r="M117" s="10" t="inlineStr">
        <is>
          <t>4525</t>
        </is>
      </c>
      <c r="N117" s="10" t="inlineStr">
        <is>
          <t>2026-06-05</t>
        </is>
      </c>
      <c r="O117" s="11" t="inlineStr">
        <is>
          <t>https://www.roccpa.org.tw/member_search/more?id=9F6E389E-5DA2-400D-BD52-5350BC331449</t>
        </is>
      </c>
    </row>
    <row r="118">
      <c r="A118" s="10" t="n">
        <v>117</v>
      </c>
      <c r="B118" s="11" t="inlineStr">
        <is>
          <t>勤業眾信聯合會計師事務所</t>
        </is>
      </c>
      <c r="C118" s="11" t="inlineStr">
        <is>
          <t>Deloitte 勤業眾信</t>
        </is>
      </c>
      <c r="D118" s="11" t="inlineStr">
        <is>
          <t>邱咏平</t>
        </is>
      </c>
      <c r="E118" s="10" t="inlineStr">
        <is>
          <t>台北總所</t>
        </is>
      </c>
      <c r="F118" s="12" t="inlineStr">
        <is>
          <t>台北市信義區松仁路100號20樓</t>
        </is>
      </c>
      <c r="G118" s="12" t="inlineStr">
        <is>
          <t>台北市信義區松仁路100號20樓</t>
        </is>
      </c>
      <c r="H118" s="12" t="inlineStr"/>
      <c r="I118" s="10" t="inlineStr">
        <is>
          <t>115/06/15</t>
        </is>
      </c>
      <c r="J118" s="11" t="inlineStr">
        <is>
          <t>全聯會一字第1150000291號</t>
        </is>
      </c>
      <c r="K118" s="10" t="inlineStr">
        <is>
          <t>北市</t>
        </is>
      </c>
      <c r="L118" s="10" t="inlineStr">
        <is>
          <t>115/06/15</t>
        </is>
      </c>
      <c r="M118" s="10" t="inlineStr">
        <is>
          <t>4898</t>
        </is>
      </c>
      <c r="N118" s="10" t="inlineStr">
        <is>
          <t>2026-06-22</t>
        </is>
      </c>
      <c r="O118" s="11" t="inlineStr">
        <is>
          <t>https://www.roccpa.org.tw/member_search/more?id=61f212dcacd24998bfdd816082e317e9</t>
        </is>
      </c>
    </row>
    <row r="119">
      <c r="A119" s="10" t="n">
        <v>118</v>
      </c>
      <c r="B119" s="11" t="inlineStr">
        <is>
          <t>勤業眾信聯合會計師事務所</t>
        </is>
      </c>
      <c r="C119" s="11" t="inlineStr">
        <is>
          <t>Deloitte 勤業眾信</t>
        </is>
      </c>
      <c r="D119" s="11" t="inlineStr">
        <is>
          <t>邱政俊</t>
        </is>
      </c>
      <c r="E119" s="10" t="inlineStr">
        <is>
          <t>台北總所</t>
        </is>
      </c>
      <c r="F119" s="12" t="inlineStr">
        <is>
          <t>台北市信義區松仁路100號20樓</t>
        </is>
      </c>
      <c r="G119" s="12" t="inlineStr">
        <is>
          <t>台北市信義區松仁路100號20樓</t>
        </is>
      </c>
      <c r="H119" s="12" t="inlineStr"/>
      <c r="I119" s="10" t="inlineStr"/>
      <c r="J119" s="11" t="inlineStr"/>
      <c r="K119" s="10" t="inlineStr">
        <is>
          <t>北市</t>
        </is>
      </c>
      <c r="L119" s="10" t="inlineStr">
        <is>
          <t>093/11/17</t>
        </is>
      </c>
      <c r="M119" s="10" t="inlineStr">
        <is>
          <t>2695</t>
        </is>
      </c>
      <c r="N119" s="10" t="inlineStr">
        <is>
          <t>2026-06-05</t>
        </is>
      </c>
      <c r="O119" s="11" t="inlineStr">
        <is>
          <t>https://www.roccpa.org.tw/member_search/more?id=EFAF0974-9437-4FC4-8CDB-F8FCF7DF8037</t>
        </is>
      </c>
    </row>
    <row r="120">
      <c r="A120" s="10" t="n">
        <v>119</v>
      </c>
      <c r="B120" s="11" t="inlineStr">
        <is>
          <t>勤業眾信聯合會計師事務所</t>
        </is>
      </c>
      <c r="C120" s="11" t="inlineStr">
        <is>
          <t>Deloitte 勤業眾信</t>
        </is>
      </c>
      <c r="D120" s="11" t="inlineStr">
        <is>
          <t>邱盟捷</t>
        </is>
      </c>
      <c r="E120" s="10" t="inlineStr">
        <is>
          <t>台北總所</t>
        </is>
      </c>
      <c r="F120" s="12" t="inlineStr">
        <is>
          <t>台北市信義區松仁路100號20樓</t>
        </is>
      </c>
      <c r="G120" s="12" t="inlineStr">
        <is>
          <t>台北市信義區松仁路100號20樓</t>
        </is>
      </c>
      <c r="H120" s="12" t="inlineStr"/>
      <c r="I120" s="10" t="inlineStr">
        <is>
          <t>102/06/03</t>
        </is>
      </c>
      <c r="J120" s="11" t="inlineStr">
        <is>
          <t>全聯會一字第1020215</t>
        </is>
      </c>
      <c r="K120" s="10" t="inlineStr">
        <is>
          <t>北市</t>
        </is>
      </c>
      <c r="L120" s="10" t="inlineStr">
        <is>
          <t>102/06/19</t>
        </is>
      </c>
      <c r="M120" s="10" t="inlineStr">
        <is>
          <t>3591</t>
        </is>
      </c>
      <c r="N120" s="10" t="inlineStr">
        <is>
          <t>2026-06-05</t>
        </is>
      </c>
      <c r="O120" s="11" t="inlineStr">
        <is>
          <t>https://www.roccpa.org.tw/member_search/more?id=F9F3ECC7-7F12-41A6-AC63-DD093A10F553</t>
        </is>
      </c>
    </row>
    <row r="121">
      <c r="A121" s="10" t="n">
        <v>120</v>
      </c>
      <c r="B121" s="11" t="inlineStr">
        <is>
          <t>勤業眾信聯合會計師事務所</t>
        </is>
      </c>
      <c r="C121" s="11" t="inlineStr">
        <is>
          <t>Deloitte 勤業眾信</t>
        </is>
      </c>
      <c r="D121" s="11" t="inlineStr">
        <is>
          <t>邱鏞銘</t>
        </is>
      </c>
      <c r="E121" s="10" t="inlineStr">
        <is>
          <t>台北總所</t>
        </is>
      </c>
      <c r="F121" s="12" t="inlineStr">
        <is>
          <t>台北市信義區松仁路100號20樓</t>
        </is>
      </c>
      <c r="G121" s="12" t="inlineStr">
        <is>
          <t>台北市信義區松仁路100號20樓</t>
        </is>
      </c>
      <c r="H121" s="12" t="inlineStr"/>
      <c r="I121" s="10" t="inlineStr">
        <is>
          <t>110/06/09</t>
        </is>
      </c>
      <c r="J121" s="11" t="inlineStr">
        <is>
          <t>全聯會一字第1100221</t>
        </is>
      </c>
      <c r="K121" s="10" t="inlineStr">
        <is>
          <t>北市</t>
        </is>
      </c>
      <c r="L121" s="10" t="inlineStr">
        <is>
          <t>110/06/09</t>
        </is>
      </c>
      <c r="M121" s="10" t="inlineStr">
        <is>
          <t>4326</t>
        </is>
      </c>
      <c r="N121" s="10" t="inlineStr">
        <is>
          <t>2026-06-05</t>
        </is>
      </c>
      <c r="O121" s="11" t="inlineStr">
        <is>
          <t>https://www.roccpa.org.tw/member_search/more?id=459C2593-0994-4C44-9D69-DAB10AF7B6C4</t>
        </is>
      </c>
    </row>
    <row r="122">
      <c r="A122" s="10" t="n">
        <v>121</v>
      </c>
      <c r="B122" s="11" t="inlineStr">
        <is>
          <t>勤業眾信聯合會計師事務所</t>
        </is>
      </c>
      <c r="C122" s="11" t="inlineStr">
        <is>
          <t>Deloitte 勤業眾信</t>
        </is>
      </c>
      <c r="D122" s="11" t="inlineStr">
        <is>
          <t>邵志明</t>
        </is>
      </c>
      <c r="E122" s="10" t="inlineStr">
        <is>
          <t>台北總所</t>
        </is>
      </c>
      <c r="F122" s="12" t="inlineStr">
        <is>
          <t>台北市信義區松仁路100號20樓</t>
        </is>
      </c>
      <c r="G122" s="12" t="inlineStr">
        <is>
          <t>台北市信義區松仁路100號20樓</t>
        </is>
      </c>
      <c r="H122" s="12" t="inlineStr"/>
      <c r="I122" s="10" t="inlineStr"/>
      <c r="J122" s="11" t="inlineStr"/>
      <c r="K122" s="10" t="inlineStr">
        <is>
          <t>北市</t>
        </is>
      </c>
      <c r="L122" s="10" t="inlineStr">
        <is>
          <t>093/06/10</t>
        </is>
      </c>
      <c r="M122" s="10" t="inlineStr">
        <is>
          <t>2658</t>
        </is>
      </c>
      <c r="N122" s="10" t="inlineStr">
        <is>
          <t>2026-06-05</t>
        </is>
      </c>
      <c r="O122" s="11" t="inlineStr">
        <is>
          <t>https://www.roccpa.org.tw/member_search/more?id=DED04DD0-C182-4A8E-A05C-1DB75AE9622D</t>
        </is>
      </c>
    </row>
    <row r="123">
      <c r="A123" s="10" t="n">
        <v>122</v>
      </c>
      <c r="B123" s="11" t="inlineStr">
        <is>
          <t>勤業眾信聯合會計師事務所</t>
        </is>
      </c>
      <c r="C123" s="11" t="inlineStr">
        <is>
          <t>Deloitte 勤業眾信</t>
        </is>
      </c>
      <c r="D123" s="11" t="inlineStr">
        <is>
          <t>郭乃華</t>
        </is>
      </c>
      <c r="E123" s="10" t="inlineStr">
        <is>
          <t>台北總所</t>
        </is>
      </c>
      <c r="F123" s="12" t="inlineStr">
        <is>
          <t>台北市信義區松仁路100號20樓</t>
        </is>
      </c>
      <c r="G123" s="12" t="inlineStr">
        <is>
          <t>台北市信義區松仁路100號20樓</t>
        </is>
      </c>
      <c r="H123" s="12" t="inlineStr"/>
      <c r="I123" s="10" t="inlineStr">
        <is>
          <t>107/06/04</t>
        </is>
      </c>
      <c r="J123" s="11" t="inlineStr">
        <is>
          <t>全聯會一字第1070243</t>
        </is>
      </c>
      <c r="K123" s="10" t="inlineStr">
        <is>
          <t>北市</t>
        </is>
      </c>
      <c r="L123" s="10" t="inlineStr">
        <is>
          <t>107/06/04</t>
        </is>
      </c>
      <c r="M123" s="10" t="inlineStr">
        <is>
          <t>4102</t>
        </is>
      </c>
      <c r="N123" s="10" t="inlineStr">
        <is>
          <t>2026-06-05</t>
        </is>
      </c>
      <c r="O123" s="11" t="inlineStr">
        <is>
          <t>https://www.roccpa.org.tw/member_search/more?id=05834B1C-2F69-4A41-8CDB-3D425B467CEF</t>
        </is>
      </c>
    </row>
    <row r="124">
      <c r="A124" s="10" t="n">
        <v>123</v>
      </c>
      <c r="B124" s="11" t="inlineStr">
        <is>
          <t>勤業眾信聯合會計師事務所</t>
        </is>
      </c>
      <c r="C124" s="11" t="inlineStr">
        <is>
          <t>Deloitte 勤業眾信</t>
        </is>
      </c>
      <c r="D124" s="11" t="inlineStr">
        <is>
          <t>郭文吉</t>
        </is>
      </c>
      <c r="E124" s="10" t="inlineStr">
        <is>
          <t>台北總所</t>
        </is>
      </c>
      <c r="F124" s="12" t="inlineStr">
        <is>
          <t>台北市信義區松仁路100號20樓</t>
        </is>
      </c>
      <c r="G124" s="12" t="inlineStr">
        <is>
          <t>台北市信義區松仁路100號20樓</t>
        </is>
      </c>
      <c r="H124" s="12" t="inlineStr"/>
      <c r="I124" s="10" t="inlineStr"/>
      <c r="J124" s="11" t="inlineStr"/>
      <c r="K124" s="10" t="inlineStr">
        <is>
          <t>北市</t>
        </is>
      </c>
      <c r="L124" s="10" t="inlineStr">
        <is>
          <t>087/08/01</t>
        </is>
      </c>
      <c r="M124" s="10" t="inlineStr">
        <is>
          <t>2052</t>
        </is>
      </c>
      <c r="N124" s="10" t="inlineStr">
        <is>
          <t>2026-06-05</t>
        </is>
      </c>
      <c r="O124" s="11" t="inlineStr">
        <is>
          <t>https://www.roccpa.org.tw/member_search/more?id=2E6E954A-486E-424F-AA1E-111C32B8AF5C</t>
        </is>
      </c>
    </row>
    <row r="125">
      <c r="A125" s="10" t="n">
        <v>124</v>
      </c>
      <c r="B125" s="11" t="inlineStr">
        <is>
          <t>勤業眾信聯合會計師事務所</t>
        </is>
      </c>
      <c r="C125" s="11" t="inlineStr">
        <is>
          <t>Deloitte 勤業眾信</t>
        </is>
      </c>
      <c r="D125" s="11" t="inlineStr">
        <is>
          <t>鄭旭然</t>
        </is>
      </c>
      <c r="E125" s="10" t="inlineStr">
        <is>
          <t>台北總所</t>
        </is>
      </c>
      <c r="F125" s="12" t="inlineStr">
        <is>
          <t>台北市信義區松仁路100號20樓</t>
        </is>
      </c>
      <c r="G125" s="12" t="inlineStr">
        <is>
          <t>台北市信義區松仁路100號20樓</t>
        </is>
      </c>
      <c r="H125" s="12" t="inlineStr"/>
      <c r="I125" s="10" t="inlineStr">
        <is>
          <t>101/06/04</t>
        </is>
      </c>
      <c r="J125" s="11" t="inlineStr">
        <is>
          <t>全聯會一字第1010175</t>
        </is>
      </c>
      <c r="K125" s="10" t="inlineStr">
        <is>
          <t>北市</t>
        </is>
      </c>
      <c r="L125" s="10" t="inlineStr">
        <is>
          <t>101/06/14</t>
        </is>
      </c>
      <c r="M125" s="10" t="inlineStr">
        <is>
          <t>3467</t>
        </is>
      </c>
      <c r="N125" s="10" t="inlineStr">
        <is>
          <t>2026-06-05</t>
        </is>
      </c>
      <c r="O125" s="11" t="inlineStr">
        <is>
          <t>https://www.roccpa.org.tw/member_search/more?id=16B3467D-6996-4A08-AFA0-732FC7840045</t>
        </is>
      </c>
    </row>
    <row r="126">
      <c r="A126" s="10" t="n">
        <v>125</v>
      </c>
      <c r="B126" s="11" t="inlineStr">
        <is>
          <t>勤業眾信聯合會計師事務所</t>
        </is>
      </c>
      <c r="C126" s="11" t="inlineStr">
        <is>
          <t>Deloitte 勤業眾信</t>
        </is>
      </c>
      <c r="D126" s="11" t="inlineStr">
        <is>
          <t>鄭欽宗</t>
        </is>
      </c>
      <c r="E126" s="10" t="inlineStr">
        <is>
          <t>台北總所</t>
        </is>
      </c>
      <c r="F126" s="12" t="inlineStr">
        <is>
          <t>台北市信義區松仁路100號20樓</t>
        </is>
      </c>
      <c r="G126" s="12" t="inlineStr">
        <is>
          <t>台北市信義區松仁路100號20樓</t>
        </is>
      </c>
      <c r="H126" s="12" t="inlineStr"/>
      <c r="I126" s="10" t="inlineStr">
        <is>
          <t>101/06/04</t>
        </is>
      </c>
      <c r="J126" s="11" t="inlineStr">
        <is>
          <t>全聯會一字第1010176</t>
        </is>
      </c>
      <c r="K126" s="10" t="inlineStr">
        <is>
          <t>北市</t>
        </is>
      </c>
      <c r="L126" s="10" t="inlineStr">
        <is>
          <t>101/06/14</t>
        </is>
      </c>
      <c r="M126" s="10" t="inlineStr">
        <is>
          <t>3468</t>
        </is>
      </c>
      <c r="N126" s="10" t="inlineStr">
        <is>
          <t>2026-06-05</t>
        </is>
      </c>
      <c r="O126" s="11" t="inlineStr">
        <is>
          <t>https://www.roccpa.org.tw/member_search/more?id=42DB878D-03CF-4503-A1A1-252E52D0B912</t>
        </is>
      </c>
    </row>
    <row r="127">
      <c r="A127" s="10" t="n">
        <v>126</v>
      </c>
      <c r="B127" s="11" t="inlineStr">
        <is>
          <t>勤業眾信聯合會計師事務所</t>
        </is>
      </c>
      <c r="C127" s="11" t="inlineStr">
        <is>
          <t>Deloitte 勤業眾信</t>
        </is>
      </c>
      <c r="D127" s="11" t="inlineStr">
        <is>
          <t>鄭淂蓁</t>
        </is>
      </c>
      <c r="E127" s="10" t="inlineStr">
        <is>
          <t>台北總所</t>
        </is>
      </c>
      <c r="F127" s="12" t="inlineStr">
        <is>
          <t>台北市信義區松仁路100號20樓</t>
        </is>
      </c>
      <c r="G127" s="12" t="inlineStr">
        <is>
          <t>台北市信義區松仁路100號20樓</t>
        </is>
      </c>
      <c r="H127" s="12" t="inlineStr"/>
      <c r="I127" s="10" t="inlineStr">
        <is>
          <t>100/05/25</t>
        </is>
      </c>
      <c r="J127" s="11" t="inlineStr">
        <is>
          <t>全聯會一字第1000208</t>
        </is>
      </c>
      <c r="K127" s="10" t="inlineStr">
        <is>
          <t>北市</t>
        </is>
      </c>
      <c r="L127" s="10" t="inlineStr">
        <is>
          <t>100/06/07</t>
        </is>
      </c>
      <c r="M127" s="10" t="inlineStr">
        <is>
          <t>3355</t>
        </is>
      </c>
      <c r="N127" s="10" t="inlineStr">
        <is>
          <t>2026-06-05</t>
        </is>
      </c>
      <c r="O127" s="11" t="inlineStr">
        <is>
          <t>https://www.roccpa.org.tw/member_search/more?id=FAF1D032-B970-4316-814D-B540605983BC</t>
        </is>
      </c>
    </row>
    <row r="128">
      <c r="A128" s="10" t="n">
        <v>127</v>
      </c>
      <c r="B128" s="11" t="inlineStr">
        <is>
          <t>勤業眾信聯合會計師事務所</t>
        </is>
      </c>
      <c r="C128" s="11" t="inlineStr">
        <is>
          <t>Deloitte 勤業眾信</t>
        </is>
      </c>
      <c r="D128" s="11" t="inlineStr">
        <is>
          <t>錢奕圻</t>
        </is>
      </c>
      <c r="E128" s="10" t="inlineStr">
        <is>
          <t>台北總所</t>
        </is>
      </c>
      <c r="F128" s="12" t="inlineStr">
        <is>
          <t>台北市信義區松仁路100號20樓</t>
        </is>
      </c>
      <c r="G128" s="12" t="inlineStr">
        <is>
          <t>台北市信義區松仁路100號20樓</t>
        </is>
      </c>
      <c r="H128" s="12" t="inlineStr"/>
      <c r="I128" s="10" t="inlineStr">
        <is>
          <t>111/06/10</t>
        </is>
      </c>
      <c r="J128" s="11" t="inlineStr">
        <is>
          <t>全聯會一字第1110216</t>
        </is>
      </c>
      <c r="K128" s="10" t="inlineStr">
        <is>
          <t>北市</t>
        </is>
      </c>
      <c r="L128" s="10" t="inlineStr">
        <is>
          <t>111/06/10</t>
        </is>
      </c>
      <c r="M128" s="10" t="inlineStr">
        <is>
          <t>4428</t>
        </is>
      </c>
      <c r="N128" s="10" t="inlineStr">
        <is>
          <t>2026-06-05</t>
        </is>
      </c>
      <c r="O128" s="11" t="inlineStr">
        <is>
          <t>https://www.roccpa.org.tw/member_search/more?id=0423021B-C08F-40BA-B100-551E0AF0E353</t>
        </is>
      </c>
    </row>
    <row r="129">
      <c r="A129" s="10" t="n">
        <v>128</v>
      </c>
      <c r="B129" s="11" t="inlineStr">
        <is>
          <t>勤業眾信聯合會計師事務所</t>
        </is>
      </c>
      <c r="C129" s="11" t="inlineStr">
        <is>
          <t>Deloitte 勤業眾信</t>
        </is>
      </c>
      <c r="D129" s="11" t="inlineStr">
        <is>
          <t>陳世婷</t>
        </is>
      </c>
      <c r="E129" s="10" t="inlineStr">
        <is>
          <t>台北總所</t>
        </is>
      </c>
      <c r="F129" s="12" t="inlineStr">
        <is>
          <t>台北市信義區松仁路100號20樓</t>
        </is>
      </c>
      <c r="G129" s="12" t="inlineStr">
        <is>
          <t>台北市信義區松仁路100號20樓</t>
        </is>
      </c>
      <c r="H129" s="12" t="inlineStr"/>
      <c r="I129" s="10" t="inlineStr">
        <is>
          <t>114/06/18</t>
        </is>
      </c>
      <c r="J129" s="11" t="inlineStr">
        <is>
          <t>全聯會一字第1140000246號</t>
        </is>
      </c>
      <c r="K129" s="10" t="inlineStr">
        <is>
          <t>北市</t>
        </is>
      </c>
      <c r="L129" s="10" t="inlineStr">
        <is>
          <t>114/06/18</t>
        </is>
      </c>
      <c r="M129" s="10" t="inlineStr">
        <is>
          <t>4730</t>
        </is>
      </c>
      <c r="N129" s="10" t="inlineStr">
        <is>
          <t>2026-06-05</t>
        </is>
      </c>
      <c r="O129" s="11" t="inlineStr">
        <is>
          <t>https://www.roccpa.org.tw/member_search/more?id=46047FC3-7D4C-478A-8186-576142B3253E</t>
        </is>
      </c>
    </row>
    <row r="130">
      <c r="A130" s="10" t="n">
        <v>129</v>
      </c>
      <c r="B130" s="11" t="inlineStr">
        <is>
          <t>勤業眾信聯合會計師事務所</t>
        </is>
      </c>
      <c r="C130" s="11" t="inlineStr">
        <is>
          <t>Deloitte 勤業眾信</t>
        </is>
      </c>
      <c r="D130" s="11" t="inlineStr">
        <is>
          <t>陳俊宏</t>
        </is>
      </c>
      <c r="E130" s="10" t="inlineStr">
        <is>
          <t>台北總所</t>
        </is>
      </c>
      <c r="F130" s="12" t="inlineStr">
        <is>
          <t>台北市信義區松仁路100號20樓</t>
        </is>
      </c>
      <c r="G130" s="12" t="inlineStr">
        <is>
          <t>台北市信義區松仁路100號20樓</t>
        </is>
      </c>
      <c r="H130" s="12" t="inlineStr"/>
      <c r="I130" s="10" t="inlineStr">
        <is>
          <t>099/05/25</t>
        </is>
      </c>
      <c r="J130" s="11" t="inlineStr">
        <is>
          <t>全聯會一字第09900256</t>
        </is>
      </c>
      <c r="K130" s="10" t="inlineStr">
        <is>
          <t>北市</t>
        </is>
      </c>
      <c r="L130" s="10" t="inlineStr">
        <is>
          <t>099/06/04</t>
        </is>
      </c>
      <c r="M130" s="10" t="inlineStr">
        <is>
          <t>3228</t>
        </is>
      </c>
      <c r="N130" s="10" t="inlineStr">
        <is>
          <t>2026-06-05</t>
        </is>
      </c>
      <c r="O130" s="11" t="inlineStr">
        <is>
          <t>https://www.roccpa.org.tw/member_search/more?id=8B68F6EA-89C9-4A2F-A99C-4A5E2C5F1D04</t>
        </is>
      </c>
    </row>
    <row r="131">
      <c r="A131" s="10" t="n">
        <v>130</v>
      </c>
      <c r="B131" s="11" t="inlineStr">
        <is>
          <t>勤業眾信聯合會計師事務所</t>
        </is>
      </c>
      <c r="C131" s="11" t="inlineStr">
        <is>
          <t>Deloitte 勤業眾信</t>
        </is>
      </c>
      <c r="D131" s="11" t="inlineStr">
        <is>
          <t>陳君銘</t>
        </is>
      </c>
      <c r="E131" s="10" t="inlineStr">
        <is>
          <t>台北總所</t>
        </is>
      </c>
      <c r="F131" s="12" t="inlineStr">
        <is>
          <t>台北市信義區松仁路100號20樓</t>
        </is>
      </c>
      <c r="G131" s="12" t="inlineStr">
        <is>
          <t>台北市信義區松仁路100號20樓</t>
        </is>
      </c>
      <c r="H131" s="12" t="inlineStr"/>
      <c r="I131" s="10" t="inlineStr">
        <is>
          <t>114/06/18</t>
        </is>
      </c>
      <c r="J131" s="11" t="inlineStr">
        <is>
          <t>全聯會一字第1140000243號</t>
        </is>
      </c>
      <c r="K131" s="10" t="inlineStr">
        <is>
          <t>北市</t>
        </is>
      </c>
      <c r="L131" s="10" t="inlineStr">
        <is>
          <t>114/06/18</t>
        </is>
      </c>
      <c r="M131" s="10" t="inlineStr">
        <is>
          <t>4727</t>
        </is>
      </c>
      <c r="N131" s="10" t="inlineStr">
        <is>
          <t>2026-06-05</t>
        </is>
      </c>
      <c r="O131" s="11" t="inlineStr">
        <is>
          <t>https://www.roccpa.org.tw/member_search/more?id=6ACBA29C-8892-4616-8F94-F96875F80417</t>
        </is>
      </c>
    </row>
    <row r="132">
      <c r="A132" s="10" t="n">
        <v>131</v>
      </c>
      <c r="B132" s="11" t="inlineStr">
        <is>
          <t>勤業眾信聯合會計師事務所</t>
        </is>
      </c>
      <c r="C132" s="11" t="inlineStr">
        <is>
          <t>Deloitte 勤業眾信</t>
        </is>
      </c>
      <c r="D132" s="11" t="inlineStr">
        <is>
          <t>陳培德</t>
        </is>
      </c>
      <c r="E132" s="10" t="inlineStr">
        <is>
          <t>台北總所</t>
        </is>
      </c>
      <c r="F132" s="12" t="inlineStr">
        <is>
          <t>台北市信義區松仁路100號20樓</t>
        </is>
      </c>
      <c r="G132" s="12" t="inlineStr">
        <is>
          <t>台北市信義區松仁路100號20樓</t>
        </is>
      </c>
      <c r="H132" s="12" t="inlineStr"/>
      <c r="I132" s="10" t="inlineStr">
        <is>
          <t>108/06/12</t>
        </is>
      </c>
      <c r="J132" s="11" t="inlineStr">
        <is>
          <t>全聯會一字第1080206</t>
        </is>
      </c>
      <c r="K132" s="10" t="inlineStr">
        <is>
          <t>北市</t>
        </is>
      </c>
      <c r="L132" s="10" t="inlineStr">
        <is>
          <t>108/06/12</t>
        </is>
      </c>
      <c r="M132" s="10" t="inlineStr">
        <is>
          <t>4170</t>
        </is>
      </c>
      <c r="N132" s="10" t="inlineStr">
        <is>
          <t>2026-06-05</t>
        </is>
      </c>
      <c r="O132" s="11" t="inlineStr">
        <is>
          <t>https://www.roccpa.org.tw/member_search/more?id=39AAAEA3-E392-4984-BF9D-D2B33CA6C8D3</t>
        </is>
      </c>
    </row>
    <row r="133">
      <c r="A133" s="10" t="n">
        <v>132</v>
      </c>
      <c r="B133" s="11" t="inlineStr">
        <is>
          <t>勤業眾信聯合會計師事務所</t>
        </is>
      </c>
      <c r="C133" s="11" t="inlineStr">
        <is>
          <t>Deloitte 勤業眾信</t>
        </is>
      </c>
      <c r="D133" s="11" t="inlineStr">
        <is>
          <t>陳宥嘉</t>
        </is>
      </c>
      <c r="E133" s="10" t="inlineStr">
        <is>
          <t>台北總所</t>
        </is>
      </c>
      <c r="F133" s="12" t="inlineStr">
        <is>
          <t>台北市信義區松仁路100號20樓</t>
        </is>
      </c>
      <c r="G133" s="12" t="inlineStr">
        <is>
          <t>台北市信義區松仁路100號20樓</t>
        </is>
      </c>
      <c r="H133" s="12" t="inlineStr"/>
      <c r="I133" s="10" t="inlineStr">
        <is>
          <t>107/06/04</t>
        </is>
      </c>
      <c r="J133" s="11" t="inlineStr">
        <is>
          <t>全聯會一字第1070244</t>
        </is>
      </c>
      <c r="K133" s="10" t="inlineStr">
        <is>
          <t>北市</t>
        </is>
      </c>
      <c r="L133" s="10" t="inlineStr">
        <is>
          <t>107/06/04</t>
        </is>
      </c>
      <c r="M133" s="10" t="inlineStr">
        <is>
          <t>4103</t>
        </is>
      </c>
      <c r="N133" s="10" t="inlineStr">
        <is>
          <t>2026-06-05</t>
        </is>
      </c>
      <c r="O133" s="11" t="inlineStr">
        <is>
          <t>https://www.roccpa.org.tw/member_search/more?id=8A2FAA91-0AF6-40B2-9200-E1B2CF535285</t>
        </is>
      </c>
    </row>
    <row r="134">
      <c r="A134" s="10" t="n">
        <v>133</v>
      </c>
      <c r="B134" s="11" t="inlineStr">
        <is>
          <t>勤業眾信聯合會計師事務所</t>
        </is>
      </c>
      <c r="C134" s="11" t="inlineStr">
        <is>
          <t>Deloitte 勤業眾信</t>
        </is>
      </c>
      <c r="D134" s="11" t="inlineStr">
        <is>
          <t>陳建宏</t>
        </is>
      </c>
      <c r="E134" s="10" t="inlineStr">
        <is>
          <t>台北總所</t>
        </is>
      </c>
      <c r="F134" s="12" t="inlineStr">
        <is>
          <t>台北市信義區松仁路100號20樓</t>
        </is>
      </c>
      <c r="G134" s="12" t="inlineStr">
        <is>
          <t>台北市信義區松仁路100號20樓</t>
        </is>
      </c>
      <c r="H134" s="12" t="inlineStr"/>
      <c r="I134" s="10" t="inlineStr"/>
      <c r="J134" s="11" t="inlineStr"/>
      <c r="K134" s="10" t="inlineStr">
        <is>
          <t>北市</t>
        </is>
      </c>
      <c r="L134" s="10" t="inlineStr">
        <is>
          <t>091/02/19</t>
        </is>
      </c>
      <c r="M134" s="10" t="inlineStr">
        <is>
          <t>2439</t>
        </is>
      </c>
      <c r="N134" s="10" t="inlineStr">
        <is>
          <t>2026-06-05</t>
        </is>
      </c>
      <c r="O134" s="11" t="inlineStr">
        <is>
          <t>https://www.roccpa.org.tw/member_search/more?id=65D27669-14C1-40C7-9666-4084487EBED3</t>
        </is>
      </c>
    </row>
    <row r="135">
      <c r="A135" s="10" t="n">
        <v>134</v>
      </c>
      <c r="B135" s="11" t="inlineStr">
        <is>
          <t>勤業眾信聯合會計師事務所</t>
        </is>
      </c>
      <c r="C135" s="11" t="inlineStr">
        <is>
          <t>Deloitte 勤業眾信</t>
        </is>
      </c>
      <c r="D135" s="11" t="inlineStr">
        <is>
          <t>陳建瑋</t>
        </is>
      </c>
      <c r="E135" s="10" t="inlineStr">
        <is>
          <t>台北總所</t>
        </is>
      </c>
      <c r="F135" s="12" t="inlineStr">
        <is>
          <t>台北市信義區松仁路100號20樓</t>
        </is>
      </c>
      <c r="G135" s="12" t="inlineStr">
        <is>
          <t>台北市信義區松仁路100號20樓</t>
        </is>
      </c>
      <c r="H135" s="12" t="inlineStr"/>
      <c r="I135" s="10" t="inlineStr">
        <is>
          <t>113/06/19</t>
        </is>
      </c>
      <c r="J135" s="11" t="inlineStr">
        <is>
          <t>全聯會一字第1130000279號</t>
        </is>
      </c>
      <c r="K135" s="10" t="inlineStr">
        <is>
          <t>北市</t>
        </is>
      </c>
      <c r="L135" s="10" t="inlineStr">
        <is>
          <t>113/06/19</t>
        </is>
      </c>
      <c r="M135" s="10" t="inlineStr">
        <is>
          <t>4636</t>
        </is>
      </c>
      <c r="N135" s="10" t="inlineStr">
        <is>
          <t>2026-06-05</t>
        </is>
      </c>
      <c r="O135" s="11" t="inlineStr">
        <is>
          <t>https://www.roccpa.org.tw/member_search/more?id=9BB2706C-882F-4BD7-A2C0-EF599166B7FE</t>
        </is>
      </c>
    </row>
    <row r="136">
      <c r="A136" s="10" t="n">
        <v>135</v>
      </c>
      <c r="B136" s="11" t="inlineStr">
        <is>
          <t>勤業眾信聯合會計師事務所</t>
        </is>
      </c>
      <c r="C136" s="11" t="inlineStr">
        <is>
          <t>Deloitte 勤業眾信</t>
        </is>
      </c>
      <c r="D136" s="11" t="inlineStr">
        <is>
          <t>陳建霖</t>
        </is>
      </c>
      <c r="E136" s="10" t="inlineStr">
        <is>
          <t>台北總所</t>
        </is>
      </c>
      <c r="F136" s="12" t="inlineStr">
        <is>
          <t>台北市信義區松仁路100號20樓</t>
        </is>
      </c>
      <c r="G136" s="12" t="inlineStr">
        <is>
          <t>台北市信義區松仁路100號20樓</t>
        </is>
      </c>
      <c r="H136" s="12" t="inlineStr"/>
      <c r="I136" s="10" t="inlineStr">
        <is>
          <t>111/06/10</t>
        </is>
      </c>
      <c r="J136" s="11" t="inlineStr">
        <is>
          <t>全聯會一字第1110222</t>
        </is>
      </c>
      <c r="K136" s="10" t="inlineStr">
        <is>
          <t>北市</t>
        </is>
      </c>
      <c r="L136" s="10" t="inlineStr">
        <is>
          <t>111/06/10</t>
        </is>
      </c>
      <c r="M136" s="10" t="inlineStr">
        <is>
          <t>4434</t>
        </is>
      </c>
      <c r="N136" s="10" t="inlineStr">
        <is>
          <t>2026-06-05</t>
        </is>
      </c>
      <c r="O136" s="11" t="inlineStr">
        <is>
          <t>https://www.roccpa.org.tw/member_search/more?id=7D55E35D-E62A-4AE9-B00D-36594C9E358A</t>
        </is>
      </c>
    </row>
    <row r="137">
      <c r="A137" s="10" t="n">
        <v>136</v>
      </c>
      <c r="B137" s="11" t="inlineStr">
        <is>
          <t>勤業眾信聯合會計師事務所</t>
        </is>
      </c>
      <c r="C137" s="11" t="inlineStr">
        <is>
          <t>Deloitte 勤業眾信</t>
        </is>
      </c>
      <c r="D137" s="11" t="inlineStr">
        <is>
          <t>陳彥君</t>
        </is>
      </c>
      <c r="E137" s="10" t="inlineStr">
        <is>
          <t>台北總所</t>
        </is>
      </c>
      <c r="F137" s="12" t="inlineStr">
        <is>
          <t>台北市信義區松仁路100號20樓</t>
        </is>
      </c>
      <c r="G137" s="12" t="inlineStr">
        <is>
          <t>台北市信義區松仁路100號20樓</t>
        </is>
      </c>
      <c r="H137" s="12" t="inlineStr"/>
      <c r="I137" s="10" t="inlineStr">
        <is>
          <t>110/06/09</t>
        </is>
      </c>
      <c r="J137" s="11" t="inlineStr">
        <is>
          <t>全聯會一字第1100228</t>
        </is>
      </c>
      <c r="K137" s="10" t="inlineStr">
        <is>
          <t>北市</t>
        </is>
      </c>
      <c r="L137" s="10" t="inlineStr">
        <is>
          <t>110/06/09</t>
        </is>
      </c>
      <c r="M137" s="10" t="inlineStr">
        <is>
          <t>4333</t>
        </is>
      </c>
      <c r="N137" s="10" t="inlineStr">
        <is>
          <t>2026-06-05</t>
        </is>
      </c>
      <c r="O137" s="11" t="inlineStr">
        <is>
          <t>https://www.roccpa.org.tw/member_search/more?id=87340E79-C8A2-4E89-BE24-A88F423CBCA7</t>
        </is>
      </c>
    </row>
    <row r="138">
      <c r="A138" s="10" t="n">
        <v>137</v>
      </c>
      <c r="B138" s="11" t="inlineStr">
        <is>
          <t>勤業眾信聯合會計師事務所</t>
        </is>
      </c>
      <c r="C138" s="11" t="inlineStr">
        <is>
          <t>Deloitte 勤業眾信</t>
        </is>
      </c>
      <c r="D138" s="11" t="inlineStr">
        <is>
          <t>陳惠明</t>
        </is>
      </c>
      <c r="E138" s="10" t="inlineStr">
        <is>
          <t>台北總所</t>
        </is>
      </c>
      <c r="F138" s="12" t="inlineStr">
        <is>
          <t>台北市信義區松仁路100號20樓</t>
        </is>
      </c>
      <c r="G138" s="12" t="inlineStr">
        <is>
          <t>台北市信義區松仁路100號20樓</t>
        </is>
      </c>
      <c r="H138" s="12" t="inlineStr"/>
      <c r="I138" s="10" t="inlineStr"/>
      <c r="J138" s="11" t="inlineStr"/>
      <c r="K138" s="10" t="inlineStr">
        <is>
          <t>北市</t>
        </is>
      </c>
      <c r="L138" s="10" t="inlineStr">
        <is>
          <t>093/06/10</t>
        </is>
      </c>
      <c r="M138" s="10" t="inlineStr">
        <is>
          <t>2643</t>
        </is>
      </c>
      <c r="N138" s="10" t="inlineStr">
        <is>
          <t>2026-06-05</t>
        </is>
      </c>
      <c r="O138" s="11" t="inlineStr">
        <is>
          <t>https://www.roccpa.org.tw/member_search/more?id=DED63CE8-6D2B-4358-A72B-594029927B21</t>
        </is>
      </c>
    </row>
    <row r="139">
      <c r="A139" s="10" t="n">
        <v>138</v>
      </c>
      <c r="B139" s="11" t="inlineStr">
        <is>
          <t>勤業眾信聯合會計師事務所</t>
        </is>
      </c>
      <c r="C139" s="11" t="inlineStr">
        <is>
          <t>Deloitte 勤業眾信</t>
        </is>
      </c>
      <c r="D139" s="11" t="inlineStr">
        <is>
          <t>陳招美</t>
        </is>
      </c>
      <c r="E139" s="10" t="inlineStr">
        <is>
          <t>台北總所</t>
        </is>
      </c>
      <c r="F139" s="12" t="inlineStr">
        <is>
          <t>台北市信義區松仁路100號20樓</t>
        </is>
      </c>
      <c r="G139" s="12" t="inlineStr">
        <is>
          <t>台北市信義區松仁路100號20樓</t>
        </is>
      </c>
      <c r="H139" s="12" t="inlineStr"/>
      <c r="I139" s="10" t="inlineStr"/>
      <c r="J139" s="11" t="inlineStr"/>
      <c r="K139" s="10" t="inlineStr">
        <is>
          <t>北市</t>
        </is>
      </c>
      <c r="L139" s="10" t="inlineStr">
        <is>
          <t>090/01/10</t>
        </is>
      </c>
      <c r="M139" s="10" t="inlineStr">
        <is>
          <t>2329</t>
        </is>
      </c>
      <c r="N139" s="10" t="inlineStr">
        <is>
          <t>2026-06-05</t>
        </is>
      </c>
      <c r="O139" s="11" t="inlineStr">
        <is>
          <t>https://www.roccpa.org.tw/member_search/more?id=61DED338-C7EF-4FA6-BE34-399A695A04AA</t>
        </is>
      </c>
    </row>
    <row r="140">
      <c r="A140" s="10" t="n">
        <v>139</v>
      </c>
      <c r="B140" s="11" t="inlineStr">
        <is>
          <t>勤業眾信聯合會計師事務所</t>
        </is>
      </c>
      <c r="C140" s="11" t="inlineStr">
        <is>
          <t>Deloitte 勤業眾信</t>
        </is>
      </c>
      <c r="D140" s="11" t="inlineStr">
        <is>
          <t>陳文香</t>
        </is>
      </c>
      <c r="E140" s="10" t="inlineStr">
        <is>
          <t>台北總所</t>
        </is>
      </c>
      <c r="F140" s="12" t="inlineStr">
        <is>
          <t>台北市信義區松仁路100號20樓</t>
        </is>
      </c>
      <c r="G140" s="12" t="inlineStr">
        <is>
          <t>台北市信義區松仁路100號20樓</t>
        </is>
      </c>
      <c r="H140" s="12" t="inlineStr"/>
      <c r="I140" s="10" t="inlineStr">
        <is>
          <t>108/06/12</t>
        </is>
      </c>
      <c r="J140" s="11" t="inlineStr">
        <is>
          <t>全聯會一字第1080205</t>
        </is>
      </c>
      <c r="K140" s="10" t="inlineStr">
        <is>
          <t>北市</t>
        </is>
      </c>
      <c r="L140" s="10" t="inlineStr">
        <is>
          <t>108/06/12</t>
        </is>
      </c>
      <c r="M140" s="10" t="inlineStr">
        <is>
          <t>4169</t>
        </is>
      </c>
      <c r="N140" s="10" t="inlineStr">
        <is>
          <t>2026-06-05</t>
        </is>
      </c>
      <c r="O140" s="11" t="inlineStr">
        <is>
          <t>https://www.roccpa.org.tw/member_search/more?id=40A4D678-0281-4B53-99F2-17F44CD71BD9</t>
        </is>
      </c>
    </row>
    <row r="141">
      <c r="A141" s="10" t="n">
        <v>140</v>
      </c>
      <c r="B141" s="11" t="inlineStr">
        <is>
          <t>勤業眾信聯合會計師事務所</t>
        </is>
      </c>
      <c r="C141" s="11" t="inlineStr">
        <is>
          <t>Deloitte 勤業眾信</t>
        </is>
      </c>
      <c r="D141" s="11" t="inlineStr">
        <is>
          <t>陳昭伶</t>
        </is>
      </c>
      <c r="E141" s="10" t="inlineStr">
        <is>
          <t>台北總所</t>
        </is>
      </c>
      <c r="F141" s="12" t="inlineStr">
        <is>
          <t>台北市信義區松仁路100號20樓</t>
        </is>
      </c>
      <c r="G141" s="12" t="inlineStr">
        <is>
          <t>台北市信義區松仁路100號20樓</t>
        </is>
      </c>
      <c r="H141" s="12" t="inlineStr"/>
      <c r="I141" s="10" t="inlineStr"/>
      <c r="J141" s="11" t="inlineStr"/>
      <c r="K141" s="10" t="inlineStr">
        <is>
          <t>北市</t>
        </is>
      </c>
      <c r="L141" s="10" t="inlineStr">
        <is>
          <t>093/11/17</t>
        </is>
      </c>
      <c r="M141" s="10" t="inlineStr">
        <is>
          <t>2688</t>
        </is>
      </c>
      <c r="N141" s="10" t="inlineStr">
        <is>
          <t>2026-06-05</t>
        </is>
      </c>
      <c r="O141" s="11" t="inlineStr">
        <is>
          <t>https://www.roccpa.org.tw/member_search/more?id=C55F8062-8A9B-4BA0-8A2D-0E690012DA8E</t>
        </is>
      </c>
    </row>
    <row r="142">
      <c r="A142" s="10" t="n">
        <v>141</v>
      </c>
      <c r="B142" s="11" t="inlineStr">
        <is>
          <t>勤業眾信聯合會計師事務所</t>
        </is>
      </c>
      <c r="C142" s="11" t="inlineStr">
        <is>
          <t>Deloitte 勤業眾信</t>
        </is>
      </c>
      <c r="D142" s="11" t="inlineStr">
        <is>
          <t>陳昭宇</t>
        </is>
      </c>
      <c r="E142" s="10" t="inlineStr">
        <is>
          <t>台北總所</t>
        </is>
      </c>
      <c r="F142" s="12" t="inlineStr">
        <is>
          <t>台北市信義區松仁路100號20樓</t>
        </is>
      </c>
      <c r="G142" s="12" t="inlineStr">
        <is>
          <t>台北市信義區松仁路100號20樓</t>
        </is>
      </c>
      <c r="H142" s="12" t="inlineStr"/>
      <c r="I142" s="10" t="inlineStr">
        <is>
          <t>111/06/10</t>
        </is>
      </c>
      <c r="J142" s="11" t="inlineStr">
        <is>
          <t>全聯會一字第1110218</t>
        </is>
      </c>
      <c r="K142" s="10" t="inlineStr">
        <is>
          <t>北市</t>
        </is>
      </c>
      <c r="L142" s="10" t="inlineStr">
        <is>
          <t>111/06/10</t>
        </is>
      </c>
      <c r="M142" s="10" t="inlineStr">
        <is>
          <t>4430</t>
        </is>
      </c>
      <c r="N142" s="10" t="inlineStr">
        <is>
          <t>2026-06-05</t>
        </is>
      </c>
      <c r="O142" s="11" t="inlineStr">
        <is>
          <t>https://www.roccpa.org.tw/member_search/more?id=63760319-EC84-4EE7-B101-9A1A25F30D03</t>
        </is>
      </c>
    </row>
    <row r="143">
      <c r="A143" s="10" t="n">
        <v>142</v>
      </c>
      <c r="B143" s="11" t="inlineStr">
        <is>
          <t>勤業眾信聯合會計師事務所</t>
        </is>
      </c>
      <c r="C143" s="11" t="inlineStr">
        <is>
          <t>Deloitte 勤業眾信</t>
        </is>
      </c>
      <c r="D143" s="11" t="inlineStr">
        <is>
          <t>陳盈州</t>
        </is>
      </c>
      <c r="E143" s="10" t="inlineStr">
        <is>
          <t>台北總所</t>
        </is>
      </c>
      <c r="F143" s="12" t="inlineStr">
        <is>
          <t>台北市信義區松仁路100號20樓</t>
        </is>
      </c>
      <c r="G143" s="12" t="inlineStr">
        <is>
          <t>台北市信義區松仁路100號20樓</t>
        </is>
      </c>
      <c r="H143" s="12" t="inlineStr"/>
      <c r="I143" s="10" t="inlineStr">
        <is>
          <t>105/06/01</t>
        </is>
      </c>
      <c r="J143" s="11" t="inlineStr">
        <is>
          <t>全聯會一字第1050251</t>
        </is>
      </c>
      <c r="K143" s="10" t="inlineStr">
        <is>
          <t>北市</t>
        </is>
      </c>
      <c r="L143" s="10" t="inlineStr">
        <is>
          <t>105/06/13</t>
        </is>
      </c>
      <c r="M143" s="10" t="inlineStr">
        <is>
          <t>3938</t>
        </is>
      </c>
      <c r="N143" s="10" t="inlineStr">
        <is>
          <t>2026-06-05</t>
        </is>
      </c>
      <c r="O143" s="11" t="inlineStr">
        <is>
          <t>https://www.roccpa.org.tw/member_search/more?id=1EE180DA-6628-48E3-9867-33F8ADDDC8B2</t>
        </is>
      </c>
    </row>
    <row r="144">
      <c r="A144" s="10" t="n">
        <v>143</v>
      </c>
      <c r="B144" s="11" t="inlineStr">
        <is>
          <t>勤業眾信聯合會計師事務所</t>
        </is>
      </c>
      <c r="C144" s="11" t="inlineStr">
        <is>
          <t>Deloitte 勤業眾信</t>
        </is>
      </c>
      <c r="D144" s="11" t="inlineStr">
        <is>
          <t>陳致源</t>
        </is>
      </c>
      <c r="E144" s="10" t="inlineStr">
        <is>
          <t>台北總所</t>
        </is>
      </c>
      <c r="F144" s="12" t="inlineStr">
        <is>
          <t>台北市信義區松仁路100號20樓</t>
        </is>
      </c>
      <c r="G144" s="12" t="inlineStr">
        <is>
          <t>台北市信義區松仁路100號20樓</t>
        </is>
      </c>
      <c r="H144" s="12" t="inlineStr"/>
      <c r="I144" s="10" t="inlineStr">
        <is>
          <t>106/06/01</t>
        </is>
      </c>
      <c r="J144" s="11" t="inlineStr">
        <is>
          <t>全聯會一字第1060199</t>
        </is>
      </c>
      <c r="K144" s="10" t="inlineStr">
        <is>
          <t>北市</t>
        </is>
      </c>
      <c r="L144" s="10" t="inlineStr">
        <is>
          <t>106/06/13</t>
        </is>
      </c>
      <c r="M144" s="10" t="inlineStr">
        <is>
          <t>4021</t>
        </is>
      </c>
      <c r="N144" s="10" t="inlineStr">
        <is>
          <t>2026-06-05</t>
        </is>
      </c>
      <c r="O144" s="11" t="inlineStr">
        <is>
          <t>https://www.roccpa.org.tw/member_search/more?id=B435F4A3-BA2A-4C9E-A417-5728DF274840</t>
        </is>
      </c>
    </row>
    <row r="145">
      <c r="A145" s="10" t="n">
        <v>144</v>
      </c>
      <c r="B145" s="11" t="inlineStr">
        <is>
          <t>勤業眾信聯合會計師事務所</t>
        </is>
      </c>
      <c r="C145" s="11" t="inlineStr">
        <is>
          <t>Deloitte 勤業眾信</t>
        </is>
      </c>
      <c r="D145" s="11" t="inlineStr">
        <is>
          <t>陳薔旬</t>
        </is>
      </c>
      <c r="E145" s="10" t="inlineStr">
        <is>
          <t>台北總所</t>
        </is>
      </c>
      <c r="F145" s="12" t="inlineStr">
        <is>
          <t>台北市信義區松仁路100號20樓</t>
        </is>
      </c>
      <c r="G145" s="12" t="inlineStr">
        <is>
          <t>台北市信義區松仁路100號20樓</t>
        </is>
      </c>
      <c r="H145" s="12" t="inlineStr"/>
      <c r="I145" s="10" t="inlineStr">
        <is>
          <t>106/06/01</t>
        </is>
      </c>
      <c r="J145" s="11" t="inlineStr">
        <is>
          <t>全聯會一字第1060200</t>
        </is>
      </c>
      <c r="K145" s="10" t="inlineStr">
        <is>
          <t>北市</t>
        </is>
      </c>
      <c r="L145" s="10" t="inlineStr">
        <is>
          <t>106/06/13</t>
        </is>
      </c>
      <c r="M145" s="10" t="inlineStr">
        <is>
          <t>4022</t>
        </is>
      </c>
      <c r="N145" s="10" t="inlineStr">
        <is>
          <t>2026-06-05</t>
        </is>
      </c>
      <c r="O145" s="11" t="inlineStr">
        <is>
          <t>https://www.roccpa.org.tw/member_search/more?id=6B5B435B-5B93-4D2E-8E1B-7E4E9511D752</t>
        </is>
      </c>
    </row>
    <row r="146">
      <c r="A146" s="10" t="n">
        <v>145</v>
      </c>
      <c r="B146" s="11" t="inlineStr">
        <is>
          <t>勤業眾信聯合會計師事務所</t>
        </is>
      </c>
      <c r="C146" s="11" t="inlineStr">
        <is>
          <t>Deloitte 勤業眾信</t>
        </is>
      </c>
      <c r="D146" s="11" t="inlineStr">
        <is>
          <t>陳重成</t>
        </is>
      </c>
      <c r="E146" s="10" t="inlineStr">
        <is>
          <t>台北總所</t>
        </is>
      </c>
      <c r="F146" s="12" t="inlineStr">
        <is>
          <t>台北市信義區松仁路100號20樓</t>
        </is>
      </c>
      <c r="G146" s="12" t="inlineStr">
        <is>
          <t>台北市信義區松仁路100號20樓</t>
        </is>
      </c>
      <c r="H146" s="12" t="inlineStr"/>
      <c r="I146" s="10" t="inlineStr">
        <is>
          <t>104/06/01</t>
        </is>
      </c>
      <c r="J146" s="11" t="inlineStr">
        <is>
          <t>全聯會一字第1040176</t>
        </is>
      </c>
      <c r="K146" s="10" t="inlineStr">
        <is>
          <t>北市</t>
        </is>
      </c>
      <c r="L146" s="10" t="inlineStr">
        <is>
          <t>104/06/11</t>
        </is>
      </c>
      <c r="M146" s="10" t="inlineStr">
        <is>
          <t>3837</t>
        </is>
      </c>
      <c r="N146" s="10" t="inlineStr">
        <is>
          <t>2026-06-05</t>
        </is>
      </c>
      <c r="O146" s="11" t="inlineStr">
        <is>
          <t>https://www.roccpa.org.tw/member_search/more?id=4761AB5F-878B-42BC-B3AC-77A8CD65E0DF</t>
        </is>
      </c>
    </row>
    <row r="147">
      <c r="A147" s="10" t="n">
        <v>146</v>
      </c>
      <c r="B147" s="11" t="inlineStr">
        <is>
          <t>勤業眾信聯合會計師事務所</t>
        </is>
      </c>
      <c r="C147" s="11" t="inlineStr">
        <is>
          <t>Deloitte 勤業眾信</t>
        </is>
      </c>
      <c r="D147" s="11" t="inlineStr">
        <is>
          <t>韓承皓</t>
        </is>
      </c>
      <c r="E147" s="10" t="inlineStr">
        <is>
          <t>台北總所</t>
        </is>
      </c>
      <c r="F147" s="12" t="inlineStr">
        <is>
          <t>台北市信義區松仁路100號20樓</t>
        </is>
      </c>
      <c r="G147" s="12" t="inlineStr">
        <is>
          <t>台北市信義區松仁路100號20樓</t>
        </is>
      </c>
      <c r="H147" s="12" t="inlineStr"/>
      <c r="I147" s="10" t="inlineStr">
        <is>
          <t>114/06/18</t>
        </is>
      </c>
      <c r="J147" s="11" t="inlineStr">
        <is>
          <t>全聯會一字第1140000247號</t>
        </is>
      </c>
      <c r="K147" s="10" t="inlineStr">
        <is>
          <t>北市</t>
        </is>
      </c>
      <c r="L147" s="10" t="inlineStr">
        <is>
          <t>114/06/18</t>
        </is>
      </c>
      <c r="M147" s="10" t="inlineStr">
        <is>
          <t>4731</t>
        </is>
      </c>
      <c r="N147" s="10" t="inlineStr">
        <is>
          <t>2026-06-05</t>
        </is>
      </c>
      <c r="O147" s="11" t="inlineStr">
        <is>
          <t>https://www.roccpa.org.tw/member_search/more?id=776CB475-328E-44A4-804C-F62567BD6E1B</t>
        </is>
      </c>
    </row>
    <row r="148">
      <c r="A148" s="10" t="n">
        <v>147</v>
      </c>
      <c r="B148" s="11" t="inlineStr">
        <is>
          <t>勤業眾信聯合會計師事務所</t>
        </is>
      </c>
      <c r="C148" s="11" t="inlineStr">
        <is>
          <t>Deloitte 勤業眾信</t>
        </is>
      </c>
      <c r="D148" s="11" t="inlineStr">
        <is>
          <t>馬偉峻</t>
        </is>
      </c>
      <c r="E148" s="10" t="inlineStr">
        <is>
          <t>台北總所</t>
        </is>
      </c>
      <c r="F148" s="12" t="inlineStr">
        <is>
          <t>台北市信義區松仁路100號20樓</t>
        </is>
      </c>
      <c r="G148" s="12" t="inlineStr">
        <is>
          <t>台北市信義區松仁路100號20樓</t>
        </is>
      </c>
      <c r="H148" s="12" t="inlineStr"/>
      <c r="I148" s="10" t="inlineStr">
        <is>
          <t>112/06/08</t>
        </is>
      </c>
      <c r="J148" s="11" t="inlineStr">
        <is>
          <t>全聯會一字第1120221</t>
        </is>
      </c>
      <c r="K148" s="10" t="inlineStr">
        <is>
          <t>北市</t>
        </is>
      </c>
      <c r="L148" s="10" t="inlineStr">
        <is>
          <t>112/06/08</t>
        </is>
      </c>
      <c r="M148" s="10" t="inlineStr">
        <is>
          <t>4527</t>
        </is>
      </c>
      <c r="N148" s="10" t="inlineStr">
        <is>
          <t>2026-06-05</t>
        </is>
      </c>
      <c r="O148" s="11" t="inlineStr">
        <is>
          <t>https://www.roccpa.org.tw/member_search/more?id=3EFFF40A-7437-4230-80E9-8462CCDA956C</t>
        </is>
      </c>
    </row>
    <row r="149">
      <c r="A149" s="10" t="n">
        <v>148</v>
      </c>
      <c r="B149" s="11" t="inlineStr">
        <is>
          <t>勤業眾信聯合會計師事務所</t>
        </is>
      </c>
      <c r="C149" s="11" t="inlineStr">
        <is>
          <t>Deloitte 勤業眾信</t>
        </is>
      </c>
      <c r="D149" s="11" t="inlineStr">
        <is>
          <t>黃國寧</t>
        </is>
      </c>
      <c r="E149" s="10" t="inlineStr">
        <is>
          <t>台北總所</t>
        </is>
      </c>
      <c r="F149" s="12" t="inlineStr">
        <is>
          <t>台北市信義區松仁路100號20樓</t>
        </is>
      </c>
      <c r="G149" s="12" t="inlineStr">
        <is>
          <t>台北市信義區松仁路100號20樓</t>
        </is>
      </c>
      <c r="H149" s="12" t="inlineStr"/>
      <c r="I149" s="10" t="inlineStr">
        <is>
          <t>110/06/09</t>
        </is>
      </c>
      <c r="J149" s="11" t="inlineStr">
        <is>
          <t>全聯會一字第1100224</t>
        </is>
      </c>
      <c r="K149" s="10" t="inlineStr">
        <is>
          <t>北市</t>
        </is>
      </c>
      <c r="L149" s="10" t="inlineStr">
        <is>
          <t>110/06/09</t>
        </is>
      </c>
      <c r="M149" s="10" t="inlineStr">
        <is>
          <t>4329</t>
        </is>
      </c>
      <c r="N149" s="10" t="inlineStr">
        <is>
          <t>2026-06-05</t>
        </is>
      </c>
      <c r="O149" s="11" t="inlineStr">
        <is>
          <t>https://www.roccpa.org.tw/member_search/more?id=89750D0C-414E-41A5-8293-66598389A550</t>
        </is>
      </c>
    </row>
    <row r="150">
      <c r="A150" s="10" t="n">
        <v>149</v>
      </c>
      <c r="B150" s="11" t="inlineStr">
        <is>
          <t>勤業眾信聯合會計師事務所</t>
        </is>
      </c>
      <c r="C150" s="11" t="inlineStr">
        <is>
          <t>Deloitte 勤業眾信</t>
        </is>
      </c>
      <c r="D150" s="11" t="inlineStr">
        <is>
          <t>黃堯麟</t>
        </is>
      </c>
      <c r="E150" s="10" t="inlineStr">
        <is>
          <t>台北總所</t>
        </is>
      </c>
      <c r="F150" s="12" t="inlineStr">
        <is>
          <t>台北市信義區松仁路100號20樓</t>
        </is>
      </c>
      <c r="G150" s="12" t="inlineStr">
        <is>
          <t>台北市信義區松仁路100號20樓</t>
        </is>
      </c>
      <c r="H150" s="12" t="inlineStr"/>
      <c r="I150" s="10" t="inlineStr">
        <is>
          <t>102/07/31</t>
        </is>
      </c>
      <c r="J150" s="11" t="inlineStr">
        <is>
          <t>全聯會一字第1020294</t>
        </is>
      </c>
      <c r="K150" s="10" t="inlineStr">
        <is>
          <t>北市</t>
        </is>
      </c>
      <c r="L150" s="10" t="inlineStr">
        <is>
          <t>102/08/02</t>
        </is>
      </c>
      <c r="M150" s="10" t="inlineStr">
        <is>
          <t>3606</t>
        </is>
      </c>
      <c r="N150" s="10" t="inlineStr">
        <is>
          <t>2026-06-05</t>
        </is>
      </c>
      <c r="O150" s="11" t="inlineStr">
        <is>
          <t>https://www.roccpa.org.tw/member_search/more?id=6B4C215F-A16E-49A0-A946-8009A9ABBE90</t>
        </is>
      </c>
    </row>
    <row r="151">
      <c r="A151" s="10" t="n">
        <v>150</v>
      </c>
      <c r="B151" s="11" t="inlineStr">
        <is>
          <t>勤業眾信聯合會計師事務所</t>
        </is>
      </c>
      <c r="C151" s="11" t="inlineStr">
        <is>
          <t>Deloitte 勤業眾信</t>
        </is>
      </c>
      <c r="D151" s="11" t="inlineStr">
        <is>
          <t>黃惠敏</t>
        </is>
      </c>
      <c r="E151" s="10" t="inlineStr">
        <is>
          <t>台北總所</t>
        </is>
      </c>
      <c r="F151" s="12" t="inlineStr">
        <is>
          <t>台北市信義區松仁路100號20樓</t>
        </is>
      </c>
      <c r="G151" s="12" t="inlineStr">
        <is>
          <t>台北市信義區松仁路100號20樓</t>
        </is>
      </c>
      <c r="H151" s="12" t="inlineStr"/>
      <c r="I151" s="10" t="inlineStr">
        <is>
          <t>107/06/04</t>
        </is>
      </c>
      <c r="J151" s="11" t="inlineStr">
        <is>
          <t>全聯會一字第1070242</t>
        </is>
      </c>
      <c r="K151" s="10" t="inlineStr">
        <is>
          <t>北市</t>
        </is>
      </c>
      <c r="L151" s="10" t="inlineStr">
        <is>
          <t>107/06/04</t>
        </is>
      </c>
      <c r="M151" s="10" t="inlineStr">
        <is>
          <t>4101</t>
        </is>
      </c>
      <c r="N151" s="10" t="inlineStr">
        <is>
          <t>2026-06-05</t>
        </is>
      </c>
      <c r="O151" s="11" t="inlineStr">
        <is>
          <t>https://www.roccpa.org.tw/member_search/more?id=21B56F57-AB2B-44CA-8EC3-F4A44F587838</t>
        </is>
      </c>
    </row>
    <row r="152">
      <c r="A152" s="10" t="n">
        <v>151</v>
      </c>
      <c r="B152" s="11" t="inlineStr">
        <is>
          <t>勤業眾信聯合會計師事務所</t>
        </is>
      </c>
      <c r="C152" s="11" t="inlineStr">
        <is>
          <t>Deloitte 勤業眾信</t>
        </is>
      </c>
      <c r="D152" s="11" t="inlineStr">
        <is>
          <t>黃毅民</t>
        </is>
      </c>
      <c r="E152" s="10" t="inlineStr">
        <is>
          <t>台北總所</t>
        </is>
      </c>
      <c r="F152" s="12" t="inlineStr">
        <is>
          <t>台北市信義區松仁路100號20樓</t>
        </is>
      </c>
      <c r="G152" s="12" t="inlineStr">
        <is>
          <t>台北市信義區松仁路100號20樓</t>
        </is>
      </c>
      <c r="H152" s="12" t="inlineStr"/>
      <c r="I152" s="10" t="inlineStr">
        <is>
          <t>103/05/30</t>
        </is>
      </c>
      <c r="J152" s="11" t="inlineStr">
        <is>
          <t>全聯會一字第1030214</t>
        </is>
      </c>
      <c r="K152" s="10" t="inlineStr">
        <is>
          <t>北市</t>
        </is>
      </c>
      <c r="L152" s="10" t="inlineStr">
        <is>
          <t>103/06/12</t>
        </is>
      </c>
      <c r="M152" s="10" t="inlineStr">
        <is>
          <t>3708</t>
        </is>
      </c>
      <c r="N152" s="10" t="inlineStr">
        <is>
          <t>2026-06-05</t>
        </is>
      </c>
      <c r="O152" s="11" t="inlineStr">
        <is>
          <t>https://www.roccpa.org.tw/member_search/more?id=56E2077A-007E-4411-85FF-4CDB201209BE</t>
        </is>
      </c>
    </row>
    <row r="153">
      <c r="A153" s="10" t="n">
        <v>152</v>
      </c>
      <c r="B153" s="11" t="inlineStr">
        <is>
          <t>勤業眾信聯合會計師事務所</t>
        </is>
      </c>
      <c r="C153" s="11" t="inlineStr">
        <is>
          <t>Deloitte 勤業眾信</t>
        </is>
      </c>
      <c r="D153" s="11" t="inlineStr">
        <is>
          <t>黃秀椿</t>
        </is>
      </c>
      <c r="E153" s="10" t="inlineStr">
        <is>
          <t>台北總所</t>
        </is>
      </c>
      <c r="F153" s="12" t="inlineStr">
        <is>
          <t>台北市信義區松仁路100號20樓</t>
        </is>
      </c>
      <c r="G153" s="12" t="inlineStr">
        <is>
          <t>台北市信義區松仁路100號20樓</t>
        </is>
      </c>
      <c r="H153" s="12" t="inlineStr"/>
      <c r="I153" s="10" t="inlineStr"/>
      <c r="J153" s="11" t="inlineStr"/>
      <c r="K153" s="10" t="inlineStr">
        <is>
          <t>北市</t>
        </is>
      </c>
      <c r="L153" s="10" t="inlineStr">
        <is>
          <t>087/08/01</t>
        </is>
      </c>
      <c r="M153" s="10" t="inlineStr">
        <is>
          <t>2050</t>
        </is>
      </c>
      <c r="N153" s="10" t="inlineStr">
        <is>
          <t>2026-06-05</t>
        </is>
      </c>
      <c r="O153" s="11" t="inlineStr">
        <is>
          <t>https://www.roccpa.org.tw/member_search/more?id=456272EA-9990-4401-B73F-230EE5D155F3</t>
        </is>
      </c>
    </row>
    <row r="154">
      <c r="A154" s="10" t="n">
        <v>153</v>
      </c>
      <c r="B154" s="11" t="inlineStr">
        <is>
          <t>勤業眾信聯合會計師事務所</t>
        </is>
      </c>
      <c r="C154" s="11" t="inlineStr">
        <is>
          <t>Deloitte 勤業眾信</t>
        </is>
      </c>
      <c r="D154" s="11" t="inlineStr">
        <is>
          <t>黃龍一</t>
        </is>
      </c>
      <c r="E154" s="10" t="inlineStr">
        <is>
          <t>台北總所</t>
        </is>
      </c>
      <c r="F154" s="12" t="inlineStr">
        <is>
          <t>台北市信義區松仁路100號20樓</t>
        </is>
      </c>
      <c r="G154" s="12" t="inlineStr">
        <is>
          <t>台北市信義區松仁路100號20樓</t>
        </is>
      </c>
      <c r="H154" s="12" t="inlineStr"/>
      <c r="I154" s="10" t="inlineStr">
        <is>
          <t>115/06/15</t>
        </is>
      </c>
      <c r="J154" s="11" t="inlineStr">
        <is>
          <t>全聯會一字第1150000288號</t>
        </is>
      </c>
      <c r="K154" s="10" t="inlineStr">
        <is>
          <t>北市</t>
        </is>
      </c>
      <c r="L154" s="10" t="inlineStr">
        <is>
          <t>115/06/15</t>
        </is>
      </c>
      <c r="M154" s="10" t="inlineStr">
        <is>
          <t>4895</t>
        </is>
      </c>
      <c r="N154" s="10" t="inlineStr">
        <is>
          <t>2026-06-23</t>
        </is>
      </c>
      <c r="O154" s="11" t="inlineStr">
        <is>
          <t>https://www.roccpa.org.tw/member_search/more?id=437a6714b73446c9b2cf5466316f8875</t>
        </is>
      </c>
    </row>
    <row r="155">
      <c r="A155" s="10" t="n">
        <v>154</v>
      </c>
      <c r="B155" s="11" t="inlineStr">
        <is>
          <t>勤業眾信聯合會計師事務所</t>
        </is>
      </c>
      <c r="C155" s="11" t="inlineStr">
        <is>
          <t>Deloitte 勤業眾信</t>
        </is>
      </c>
      <c r="D155" s="11" t="inlineStr">
        <is>
          <t>龔則立</t>
        </is>
      </c>
      <c r="E155" s="10" t="inlineStr">
        <is>
          <t>台北總所</t>
        </is>
      </c>
      <c r="F155" s="12" t="inlineStr">
        <is>
          <t>台北市信義區松仁路100號20樓</t>
        </is>
      </c>
      <c r="G155" s="12" t="inlineStr">
        <is>
          <t>台北市信義區松仁路100號20樓</t>
        </is>
      </c>
      <c r="H155" s="12" t="inlineStr"/>
      <c r="I155" s="10" t="inlineStr">
        <is>
          <t>100/05/25</t>
        </is>
      </c>
      <c r="J155" s="11" t="inlineStr">
        <is>
          <t>全聯會一字第1000212</t>
        </is>
      </c>
      <c r="K155" s="10" t="inlineStr">
        <is>
          <t>北市</t>
        </is>
      </c>
      <c r="L155" s="10" t="inlineStr">
        <is>
          <t>100/06/07</t>
        </is>
      </c>
      <c r="M155" s="10" t="inlineStr">
        <is>
          <t>3359</t>
        </is>
      </c>
      <c r="N155" s="10" t="inlineStr">
        <is>
          <t>2026-06-05</t>
        </is>
      </c>
      <c r="O155" s="11" t="inlineStr">
        <is>
          <t>https://www.roccpa.org.tw/member_search/more?id=31837FA6-171B-4012-81E7-A5B578BB70D8</t>
        </is>
      </c>
    </row>
    <row r="156">
      <c r="A156" s="10" t="n">
        <v>155</v>
      </c>
      <c r="B156" s="11" t="inlineStr">
        <is>
          <t>勤業眾信聯合會計師事務所</t>
        </is>
      </c>
      <c r="C156" s="11" t="inlineStr">
        <is>
          <t>Deloitte 勤業眾信</t>
        </is>
      </c>
      <c r="D156" s="11" t="inlineStr">
        <is>
          <t>張雅芸</t>
        </is>
      </c>
      <c r="E156" s="10" t="inlineStr">
        <is>
          <t>新竹分所</t>
        </is>
      </c>
      <c r="F156" s="12" t="inlineStr">
        <is>
          <t>新竹市科學工業園區展業一路2號6樓</t>
        </is>
      </c>
      <c r="G156" s="12" t="inlineStr">
        <is>
          <t>台北市信義區松仁路100號20樓</t>
        </is>
      </c>
      <c r="H156" s="12" t="inlineStr">
        <is>
          <t>新竹市科學工業園區展業一路2號6樓</t>
        </is>
      </c>
      <c r="I156" s="10" t="inlineStr">
        <is>
          <t>111/06/10</t>
        </is>
      </c>
      <c r="J156" s="11" t="inlineStr">
        <is>
          <t>全聯會一字第1110212</t>
        </is>
      </c>
      <c r="K156" s="10" t="inlineStr">
        <is>
          <t>省</t>
        </is>
      </c>
      <c r="L156" s="10" t="inlineStr">
        <is>
          <t>111/06/10</t>
        </is>
      </c>
      <c r="M156" s="10" t="inlineStr">
        <is>
          <t>4875</t>
        </is>
      </c>
      <c r="N156" s="10" t="inlineStr">
        <is>
          <t>2026-06-05</t>
        </is>
      </c>
      <c r="O156" s="11" t="inlineStr">
        <is>
          <t>https://www.roccpa.org.tw/member_search/more?id=A2E1250D-91D5-45AF-A547-C8C3754DB600</t>
        </is>
      </c>
    </row>
    <row r="157">
      <c r="A157" s="10" t="n">
        <v>156</v>
      </c>
      <c r="B157" s="11" t="inlineStr">
        <is>
          <t>勤業眾信聯合會計師事務所</t>
        </is>
      </c>
      <c r="C157" s="11" t="inlineStr">
        <is>
          <t>Deloitte 勤業眾信</t>
        </is>
      </c>
      <c r="D157" s="11" t="inlineStr">
        <is>
          <t>方蘇立</t>
        </is>
      </c>
      <c r="E157" s="10" t="inlineStr">
        <is>
          <t>新竹分所</t>
        </is>
      </c>
      <c r="F157" s="12" t="inlineStr">
        <is>
          <t>新竹市科學工業園區展業一路2號6樓</t>
        </is>
      </c>
      <c r="G157" s="12" t="inlineStr">
        <is>
          <t>台北市信義區松仁路100號20樓</t>
        </is>
      </c>
      <c r="H157" s="12" t="inlineStr">
        <is>
          <t>新竹市科學工業園區展業一路2號6樓</t>
        </is>
      </c>
      <c r="I157" s="10" t="inlineStr"/>
      <c r="J157" s="11" t="inlineStr"/>
      <c r="K157" s="10" t="inlineStr">
        <is>
          <t>省</t>
        </is>
      </c>
      <c r="L157" s="10" t="inlineStr">
        <is>
          <t>094/12/16</t>
        </is>
      </c>
      <c r="M157" s="10" t="inlineStr">
        <is>
          <t>3226</t>
        </is>
      </c>
      <c r="N157" s="10" t="inlineStr">
        <is>
          <t>2026-06-05</t>
        </is>
      </c>
      <c r="O157" s="11" t="inlineStr">
        <is>
          <t>https://www.roccpa.org.tw/member_search/more?id=0DE8EC87-CE31-41B9-9A43-BE075A957242</t>
        </is>
      </c>
    </row>
    <row r="158">
      <c r="A158" s="10" t="n">
        <v>157</v>
      </c>
      <c r="B158" s="11" t="inlineStr">
        <is>
          <t>勤業眾信聯合會計師事務所</t>
        </is>
      </c>
      <c r="C158" s="11" t="inlineStr">
        <is>
          <t>Deloitte 勤業眾信</t>
        </is>
      </c>
      <c r="D158" s="11" t="inlineStr">
        <is>
          <t>朱光輝</t>
        </is>
      </c>
      <c r="E158" s="10" t="inlineStr">
        <is>
          <t>新竹分所</t>
        </is>
      </c>
      <c r="F158" s="12" t="inlineStr">
        <is>
          <t>新竹市科學工業園區展業一路2號6樓</t>
        </is>
      </c>
      <c r="G158" s="12" t="inlineStr">
        <is>
          <t>台北市信義區松仁路100號20樓</t>
        </is>
      </c>
      <c r="H158" s="12" t="inlineStr">
        <is>
          <t>新竹市科學工業園區展業一路2號6樓</t>
        </is>
      </c>
      <c r="I158" s="10" t="inlineStr">
        <is>
          <t>101/06/04</t>
        </is>
      </c>
      <c r="J158" s="11" t="inlineStr">
        <is>
          <t>全聯會一字第1010183</t>
        </is>
      </c>
      <c r="K158" s="10" t="inlineStr">
        <is>
          <t>省</t>
        </is>
      </c>
      <c r="L158" s="10" t="inlineStr">
        <is>
          <t>101/06/13</t>
        </is>
      </c>
      <c r="M158" s="10" t="inlineStr">
        <is>
          <t>3975</t>
        </is>
      </c>
      <c r="N158" s="10" t="inlineStr">
        <is>
          <t>2026-06-05</t>
        </is>
      </c>
      <c r="O158" s="11" t="inlineStr">
        <is>
          <t>https://www.roccpa.org.tw/member_search/more?id=21F288DD-0120-4E41-9224-5E954DFDAA80</t>
        </is>
      </c>
    </row>
    <row r="159">
      <c r="A159" s="10" t="n">
        <v>158</v>
      </c>
      <c r="B159" s="11" t="inlineStr">
        <is>
          <t>勤業眾信聯合會計師事務所</t>
        </is>
      </c>
      <c r="C159" s="11" t="inlineStr">
        <is>
          <t>Deloitte 勤業眾信</t>
        </is>
      </c>
      <c r="D159" s="11" t="inlineStr">
        <is>
          <t>林尚志</t>
        </is>
      </c>
      <c r="E159" s="10" t="inlineStr">
        <is>
          <t>新竹分所</t>
        </is>
      </c>
      <c r="F159" s="12" t="inlineStr">
        <is>
          <t>新竹市科學工業園區展業一路2號6樓</t>
        </is>
      </c>
      <c r="G159" s="12" t="inlineStr">
        <is>
          <t>台北市信義區松仁路100號20樓</t>
        </is>
      </c>
      <c r="H159" s="12" t="inlineStr">
        <is>
          <t>新竹市科學工業園區展業一路2號6樓</t>
        </is>
      </c>
      <c r="I159" s="10" t="inlineStr">
        <is>
          <t>109/06/10</t>
        </is>
      </c>
      <c r="J159" s="11" t="inlineStr">
        <is>
          <t>全聯會一字第1090211</t>
        </is>
      </c>
      <c r="K159" s="10" t="inlineStr">
        <is>
          <t>省</t>
        </is>
      </c>
      <c r="L159" s="10" t="inlineStr">
        <is>
          <t>109/06/10</t>
        </is>
      </c>
      <c r="M159" s="10" t="inlineStr">
        <is>
          <t>4755</t>
        </is>
      </c>
      <c r="N159" s="10" t="inlineStr">
        <is>
          <t>2026-06-05</t>
        </is>
      </c>
      <c r="O159" s="11" t="inlineStr">
        <is>
          <t>https://www.roccpa.org.tw/member_search/more?id=AA743C31-58DD-4A06-A301-EE7A4AAA9FC1</t>
        </is>
      </c>
    </row>
    <row r="160">
      <c r="A160" s="10" t="n">
        <v>159</v>
      </c>
      <c r="B160" s="11" t="inlineStr">
        <is>
          <t>勤業眾信聯合會計師事務所</t>
        </is>
      </c>
      <c r="C160" s="11" t="inlineStr">
        <is>
          <t>Deloitte 勤業眾信</t>
        </is>
      </c>
      <c r="D160" s="11" t="inlineStr">
        <is>
          <t>林心彤</t>
        </is>
      </c>
      <c r="E160" s="10" t="inlineStr">
        <is>
          <t>新竹分所</t>
        </is>
      </c>
      <c r="F160" s="12" t="inlineStr">
        <is>
          <t>新竹市科學工業園區展業一路2號6樓</t>
        </is>
      </c>
      <c r="G160" s="12" t="inlineStr">
        <is>
          <t>台北市信義區松仁路100號20樓</t>
        </is>
      </c>
      <c r="H160" s="12" t="inlineStr">
        <is>
          <t>新竹市科學工業園區展業一路2號6樓</t>
        </is>
      </c>
      <c r="I160" s="10" t="inlineStr">
        <is>
          <t>111/06/10</t>
        </is>
      </c>
      <c r="J160" s="11" t="inlineStr">
        <is>
          <t>全聯會一字第1110213</t>
        </is>
      </c>
      <c r="K160" s="10" t="inlineStr">
        <is>
          <t>省</t>
        </is>
      </c>
      <c r="L160" s="10" t="inlineStr">
        <is>
          <t>111/06/10</t>
        </is>
      </c>
      <c r="M160" s="10" t="inlineStr">
        <is>
          <t>4876</t>
        </is>
      </c>
      <c r="N160" s="10" t="inlineStr">
        <is>
          <t>2026-06-05</t>
        </is>
      </c>
      <c r="O160" s="11" t="inlineStr">
        <is>
          <t>https://www.roccpa.org.tw/member_search/more?id=3606BE24-F530-45CF-A488-0DFF8DE38A17</t>
        </is>
      </c>
    </row>
    <row r="161">
      <c r="A161" s="10" t="n">
        <v>160</v>
      </c>
      <c r="B161" s="11" t="inlineStr">
        <is>
          <t>勤業眾信聯合會計師事務所</t>
        </is>
      </c>
      <c r="C161" s="11" t="inlineStr">
        <is>
          <t>Deloitte 勤業眾信</t>
        </is>
      </c>
      <c r="D161" s="11" t="inlineStr">
        <is>
          <t>林政治</t>
        </is>
      </c>
      <c r="E161" s="10" t="inlineStr">
        <is>
          <t>新竹分所</t>
        </is>
      </c>
      <c r="F161" s="12" t="inlineStr">
        <is>
          <t>新竹市科學工業園區展業一路2號6樓</t>
        </is>
      </c>
      <c r="G161" s="12" t="inlineStr">
        <is>
          <t>台北市信義區松仁路100號20樓</t>
        </is>
      </c>
      <c r="H161" s="12" t="inlineStr">
        <is>
          <t>新竹市科學工業園區展業一路2號6樓</t>
        </is>
      </c>
      <c r="I161" s="10" t="inlineStr"/>
      <c r="J161" s="11" t="inlineStr"/>
      <c r="K161" s="10" t="inlineStr">
        <is>
          <t>省</t>
        </is>
      </c>
      <c r="L161" s="10" t="inlineStr">
        <is>
          <t>093/12/03</t>
        </is>
      </c>
      <c r="M161" s="10" t="inlineStr">
        <is>
          <t>3103</t>
        </is>
      </c>
      <c r="N161" s="10" t="inlineStr">
        <is>
          <t>2026-06-05</t>
        </is>
      </c>
      <c r="O161" s="11" t="inlineStr">
        <is>
          <t>https://www.roccpa.org.tw/member_search/more?id=4F1BA771-BC4B-463C-B82D-DE6EF39ADA9A</t>
        </is>
      </c>
    </row>
    <row r="162">
      <c r="A162" s="10" t="n">
        <v>161</v>
      </c>
      <c r="B162" s="11" t="inlineStr">
        <is>
          <t>勤業眾信聯合會計師事務所</t>
        </is>
      </c>
      <c r="C162" s="11" t="inlineStr">
        <is>
          <t>Deloitte 勤業眾信</t>
        </is>
      </c>
      <c r="D162" s="11" t="inlineStr">
        <is>
          <t>温智源</t>
        </is>
      </c>
      <c r="E162" s="10" t="inlineStr">
        <is>
          <t>新竹分所</t>
        </is>
      </c>
      <c r="F162" s="12" t="inlineStr">
        <is>
          <t>新竹市科學工業園區展業一路2號6樓</t>
        </is>
      </c>
      <c r="G162" s="12" t="inlineStr">
        <is>
          <t>台北市信義區松仁路100號20樓</t>
        </is>
      </c>
      <c r="H162" s="12" t="inlineStr">
        <is>
          <t>新竹市科學工業園區展業一路2號6樓</t>
        </is>
      </c>
      <c r="I162" s="10" t="inlineStr">
        <is>
          <t>113/06/19</t>
        </is>
      </c>
      <c r="J162" s="11" t="inlineStr">
        <is>
          <t>全聯會一字第1130000289號</t>
        </is>
      </c>
      <c r="K162" s="10" t="inlineStr">
        <is>
          <t>省</t>
        </is>
      </c>
      <c r="L162" s="10" t="inlineStr">
        <is>
          <t>113/06/19</t>
        </is>
      </c>
      <c r="M162" s="10" t="inlineStr">
        <is>
          <t>5038</t>
        </is>
      </c>
      <c r="N162" s="10" t="inlineStr">
        <is>
          <t>2026-06-05</t>
        </is>
      </c>
      <c r="O162" s="11" t="inlineStr">
        <is>
          <t>https://www.roccpa.org.tw/member_search/more?id=51CB2F25-33A0-47B7-9929-696902931C2E</t>
        </is>
      </c>
    </row>
    <row r="163">
      <c r="A163" s="10" t="n">
        <v>162</v>
      </c>
      <c r="B163" s="11" t="inlineStr">
        <is>
          <t>勤業眾信聯合會計師事務所</t>
        </is>
      </c>
      <c r="C163" s="11" t="inlineStr">
        <is>
          <t>Deloitte 勤業眾信</t>
        </is>
      </c>
      <c r="D163" s="11" t="inlineStr">
        <is>
          <t>蔡美貞</t>
        </is>
      </c>
      <c r="E163" s="10" t="inlineStr">
        <is>
          <t>新竹分所</t>
        </is>
      </c>
      <c r="F163" s="12" t="inlineStr">
        <is>
          <t>新竹市科學工業園區展業一路2號6樓</t>
        </is>
      </c>
      <c r="G163" s="12" t="inlineStr">
        <is>
          <t>台北市信義區松仁路100號20樓</t>
        </is>
      </c>
      <c r="H163" s="12" t="inlineStr">
        <is>
          <t>新竹市科學工業園區展業一路2號6樓</t>
        </is>
      </c>
      <c r="I163" s="10" t="inlineStr">
        <is>
          <t>101/06/04</t>
        </is>
      </c>
      <c r="J163" s="11" t="inlineStr">
        <is>
          <t>全聯會一字第1010180</t>
        </is>
      </c>
      <c r="K163" s="10" t="inlineStr">
        <is>
          <t>省</t>
        </is>
      </c>
      <c r="L163" s="10" t="inlineStr">
        <is>
          <t>101/06/13</t>
        </is>
      </c>
      <c r="M163" s="10" t="inlineStr">
        <is>
          <t>3970</t>
        </is>
      </c>
      <c r="N163" s="10" t="inlineStr">
        <is>
          <t>2026-06-05</t>
        </is>
      </c>
      <c r="O163" s="11" t="inlineStr">
        <is>
          <t>https://www.roccpa.org.tw/member_search/more?id=AE0651F8-06EB-4593-BA43-F3EA339EF69A</t>
        </is>
      </c>
    </row>
    <row r="164">
      <c r="A164" s="10" t="n">
        <v>163</v>
      </c>
      <c r="B164" s="11" t="inlineStr">
        <is>
          <t>勤業眾信聯合會計師事務所</t>
        </is>
      </c>
      <c r="C164" s="11" t="inlineStr">
        <is>
          <t>Deloitte 勤業眾信</t>
        </is>
      </c>
      <c r="D164" s="11" t="inlineStr">
        <is>
          <t>鍾鳴遠</t>
        </is>
      </c>
      <c r="E164" s="10" t="inlineStr">
        <is>
          <t>新竹分所</t>
        </is>
      </c>
      <c r="F164" s="12" t="inlineStr">
        <is>
          <t>新竹市科學工業園區展業一路2號6樓</t>
        </is>
      </c>
      <c r="G164" s="12" t="inlineStr">
        <is>
          <t>台北市信義區松仁路100號20樓</t>
        </is>
      </c>
      <c r="H164" s="12" t="inlineStr">
        <is>
          <t>新竹市科學工業園區展業一路2號6樓</t>
        </is>
      </c>
      <c r="I164" s="10" t="inlineStr">
        <is>
          <t>105/06/01</t>
        </is>
      </c>
      <c r="J164" s="11" t="inlineStr">
        <is>
          <t>全聯會一字第1050254</t>
        </is>
      </c>
      <c r="K164" s="10" t="inlineStr">
        <is>
          <t>省</t>
        </is>
      </c>
      <c r="L164" s="10" t="inlineStr">
        <is>
          <t>105/06/15</t>
        </is>
      </c>
      <c r="M164" s="10" t="inlineStr">
        <is>
          <t>4505</t>
        </is>
      </c>
      <c r="N164" s="10" t="inlineStr">
        <is>
          <t>2026-06-05</t>
        </is>
      </c>
      <c r="O164" s="11" t="inlineStr">
        <is>
          <t>https://www.roccpa.org.tw/member_search/more?id=A15E22C1-2732-4FEB-97E8-AC50E54AF99F</t>
        </is>
      </c>
    </row>
    <row r="165">
      <c r="A165" s="10" t="n">
        <v>164</v>
      </c>
      <c r="B165" s="11" t="inlineStr">
        <is>
          <t>勤業眾信聯合會計師事務所</t>
        </is>
      </c>
      <c r="C165" s="11" t="inlineStr">
        <is>
          <t>Deloitte 勤業眾信</t>
        </is>
      </c>
      <c r="D165" s="11" t="inlineStr">
        <is>
          <t>陳彥君</t>
        </is>
      </c>
      <c r="E165" s="10" t="inlineStr">
        <is>
          <t>新竹分所</t>
        </is>
      </c>
      <c r="F165" s="12" t="inlineStr">
        <is>
          <t>新竹市科學工業園區展業一路2號6樓</t>
        </is>
      </c>
      <c r="G165" s="12" t="inlineStr">
        <is>
          <t>台北市信義區松仁路100號20樓</t>
        </is>
      </c>
      <c r="H165" s="12" t="inlineStr">
        <is>
          <t>新竹市科學工業園區展業一路2號6樓</t>
        </is>
      </c>
      <c r="I165" s="10" t="inlineStr">
        <is>
          <t>114/06/27</t>
        </is>
      </c>
      <c r="J165" s="11" t="inlineStr">
        <is>
          <t>全聯會一字第1140000253號</t>
        </is>
      </c>
      <c r="K165" s="10" t="inlineStr">
        <is>
          <t>省</t>
        </is>
      </c>
      <c r="L165" s="10" t="inlineStr">
        <is>
          <t>114/06/27</t>
        </is>
      </c>
      <c r="M165" s="10" t="inlineStr">
        <is>
          <t>5134</t>
        </is>
      </c>
      <c r="N165" s="10" t="inlineStr">
        <is>
          <t>2026-06-05</t>
        </is>
      </c>
      <c r="O165" s="11" t="inlineStr">
        <is>
          <t>https://www.roccpa.org.tw/member_search/more?id=00F63DDC-A19D-427C-B220-8E3383C44999</t>
        </is>
      </c>
    </row>
    <row r="166">
      <c r="A166" s="10" t="n">
        <v>165</v>
      </c>
      <c r="B166" s="11" t="inlineStr">
        <is>
          <t>勤業眾信聯合會計師事務所</t>
        </is>
      </c>
      <c r="C166" s="11" t="inlineStr">
        <is>
          <t>Deloitte 勤業眾信</t>
        </is>
      </c>
      <c r="D166" s="11" t="inlineStr">
        <is>
          <t>陳明煇</t>
        </is>
      </c>
      <c r="E166" s="10" t="inlineStr">
        <is>
          <t>新竹分所</t>
        </is>
      </c>
      <c r="F166" s="12" t="inlineStr">
        <is>
          <t>新竹市科學工業園區展業一路2號6樓</t>
        </is>
      </c>
      <c r="G166" s="12" t="inlineStr">
        <is>
          <t>台北市信義區松仁路100號20樓</t>
        </is>
      </c>
      <c r="H166" s="12" t="inlineStr">
        <is>
          <t>新竹市科學工業園區展業一路2號6樓</t>
        </is>
      </c>
      <c r="I166" s="10" t="inlineStr"/>
      <c r="J166" s="11" t="inlineStr"/>
      <c r="K166" s="10" t="inlineStr">
        <is>
          <t>省</t>
        </is>
      </c>
      <c r="L166" s="10" t="inlineStr">
        <is>
          <t>093/06/11</t>
        </is>
      </c>
      <c r="M166" s="10" t="inlineStr">
        <is>
          <t>3036</t>
        </is>
      </c>
      <c r="N166" s="10" t="inlineStr">
        <is>
          <t>2026-06-05</t>
        </is>
      </c>
      <c r="O166" s="11" t="inlineStr">
        <is>
          <t>https://www.roccpa.org.tw/member_search/more?id=A4E73053-69EB-4BCC-B55E-66DD8512E772</t>
        </is>
      </c>
    </row>
    <row r="167">
      <c r="A167" s="10" t="n">
        <v>166</v>
      </c>
      <c r="B167" s="11" t="inlineStr">
        <is>
          <t>勤業眾信聯合會計師事務所</t>
        </is>
      </c>
      <c r="C167" s="11" t="inlineStr">
        <is>
          <t>Deloitte 勤業眾信</t>
        </is>
      </c>
      <c r="D167" s="11" t="inlineStr">
        <is>
          <t>高逸欣</t>
        </is>
      </c>
      <c r="E167" s="10" t="inlineStr">
        <is>
          <t>新竹分所</t>
        </is>
      </c>
      <c r="F167" s="12" t="inlineStr">
        <is>
          <t>新竹市科學工業園區展業一路2號6樓</t>
        </is>
      </c>
      <c r="G167" s="12" t="inlineStr">
        <is>
          <t>台北市信義區松仁路100號20樓</t>
        </is>
      </c>
      <c r="H167" s="12" t="inlineStr">
        <is>
          <t>新竹市科學工業園區展業一路2號6樓</t>
        </is>
      </c>
      <c r="I167" s="10" t="inlineStr">
        <is>
          <t>098/05/27</t>
        </is>
      </c>
      <c r="J167" s="11" t="inlineStr">
        <is>
          <t>全聯會一字第09800198</t>
        </is>
      </c>
      <c r="K167" s="10" t="inlineStr">
        <is>
          <t>省</t>
        </is>
      </c>
      <c r="L167" s="10" t="inlineStr">
        <is>
          <t>098/06/18</t>
        </is>
      </c>
      <c r="M167" s="10" t="inlineStr">
        <is>
          <t>3579</t>
        </is>
      </c>
      <c r="N167" s="10" t="inlineStr">
        <is>
          <t>2026-06-05</t>
        </is>
      </c>
      <c r="O167" s="11" t="inlineStr">
        <is>
          <t>https://www.roccpa.org.tw/member_search/more?id=456B5ADF-57CD-4A53-B4A8-AAB056DD7C57</t>
        </is>
      </c>
    </row>
    <row r="168">
      <c r="A168" s="10" t="n">
        <v>167</v>
      </c>
      <c r="B168" s="11" t="inlineStr">
        <is>
          <t>勤業眾信聯合會計師事務所</t>
        </is>
      </c>
      <c r="C168" s="11" t="inlineStr">
        <is>
          <t>Deloitte 勤業眾信</t>
        </is>
      </c>
      <c r="D168" s="11" t="inlineStr">
        <is>
          <t>吳少君</t>
        </is>
      </c>
      <c r="E168" s="10" t="inlineStr">
        <is>
          <t>台中分所</t>
        </is>
      </c>
      <c r="F168" s="12" t="inlineStr">
        <is>
          <t>台中市西屯區惠中路一段88號22樓</t>
        </is>
      </c>
      <c r="G168" s="12" t="inlineStr">
        <is>
          <t>台北市信義區松仁路100號20樓</t>
        </is>
      </c>
      <c r="H168" s="12" t="inlineStr">
        <is>
          <t>台中市西屯區惠中路一段88號22樓</t>
        </is>
      </c>
      <c r="I168" s="10" t="inlineStr">
        <is>
          <t>110/06/09</t>
        </is>
      </c>
      <c r="J168" s="11" t="inlineStr">
        <is>
          <t>全聯會一字第1100236</t>
        </is>
      </c>
      <c r="K168" s="10" t="inlineStr">
        <is>
          <t>中市</t>
        </is>
      </c>
      <c r="L168" s="10" t="inlineStr">
        <is>
          <t>110/06/09</t>
        </is>
      </c>
      <c r="M168" s="10" t="inlineStr">
        <is>
          <t>1030</t>
        </is>
      </c>
      <c r="N168" s="10" t="inlineStr">
        <is>
          <t>2026-06-05</t>
        </is>
      </c>
      <c r="O168" s="11" t="inlineStr">
        <is>
          <t>https://www.roccpa.org.tw/member_search/more?id=D6482878-6116-44CB-8D03-1C1407341E8A</t>
        </is>
      </c>
    </row>
    <row r="169">
      <c r="A169" s="10" t="n">
        <v>168</v>
      </c>
      <c r="B169" s="11" t="inlineStr">
        <is>
          <t>勤業眾信聯合會計師事務所</t>
        </is>
      </c>
      <c r="C169" s="11" t="inlineStr">
        <is>
          <t>Deloitte 勤業眾信</t>
        </is>
      </c>
      <c r="D169" s="11" t="inlineStr">
        <is>
          <t>吳麗冬</t>
        </is>
      </c>
      <c r="E169" s="10" t="inlineStr">
        <is>
          <t>台中分所</t>
        </is>
      </c>
      <c r="F169" s="12" t="inlineStr">
        <is>
          <t>台中市西屯區惠中路一段88號22樓</t>
        </is>
      </c>
      <c r="G169" s="12" t="inlineStr">
        <is>
          <t>台北市信義區松仁路100號20樓</t>
        </is>
      </c>
      <c r="H169" s="12" t="inlineStr">
        <is>
          <t>台中市西屯區惠中路一段88號22樓</t>
        </is>
      </c>
      <c r="I169" s="10" t="inlineStr"/>
      <c r="J169" s="11" t="inlineStr"/>
      <c r="K169" s="10" t="inlineStr">
        <is>
          <t>中市</t>
        </is>
      </c>
      <c r="L169" s="10" t="inlineStr">
        <is>
          <t>100/12/09</t>
        </is>
      </c>
      <c r="M169" s="10" t="inlineStr">
        <is>
          <t>155</t>
        </is>
      </c>
      <c r="N169" s="10" t="inlineStr">
        <is>
          <t>2026-06-05</t>
        </is>
      </c>
      <c r="O169" s="11" t="inlineStr">
        <is>
          <t>https://www.roccpa.org.tw/member_search/more?id=FF0D0E5E-C253-4057-AEDA-A06C8D4AD885</t>
        </is>
      </c>
    </row>
    <row r="170">
      <c r="A170" s="10" t="n">
        <v>169</v>
      </c>
      <c r="B170" s="11" t="inlineStr">
        <is>
          <t>勤業眾信聯合會計師事務所</t>
        </is>
      </c>
      <c r="C170" s="11" t="inlineStr">
        <is>
          <t>Deloitte 勤業眾信</t>
        </is>
      </c>
      <c r="D170" s="11" t="inlineStr">
        <is>
          <t>康玉葉</t>
        </is>
      </c>
      <c r="E170" s="10" t="inlineStr">
        <is>
          <t>台中分所</t>
        </is>
      </c>
      <c r="F170" s="12" t="inlineStr">
        <is>
          <t>台中市西屯區惠中路一段88號22樓</t>
        </is>
      </c>
      <c r="G170" s="12" t="inlineStr">
        <is>
          <t>台北市信義區松仁路100號20樓</t>
        </is>
      </c>
      <c r="H170" s="12" t="inlineStr">
        <is>
          <t>台中市西屯區惠中路一段88號22樓</t>
        </is>
      </c>
      <c r="I170" s="10" t="inlineStr">
        <is>
          <t>103/05/30</t>
        </is>
      </c>
      <c r="J170" s="11" t="inlineStr">
        <is>
          <t>全聯會一字第1030217</t>
        </is>
      </c>
      <c r="K170" s="10" t="inlineStr">
        <is>
          <t>中市</t>
        </is>
      </c>
      <c r="L170" s="10" t="inlineStr">
        <is>
          <t>103/06/06</t>
        </is>
      </c>
      <c r="M170" s="10" t="inlineStr">
        <is>
          <t>770</t>
        </is>
      </c>
      <c r="N170" s="10" t="inlineStr">
        <is>
          <t>2026-06-05</t>
        </is>
      </c>
      <c r="O170" s="11" t="inlineStr">
        <is>
          <t>https://www.roccpa.org.tw/member_search/more?id=EE4A8DC4-F434-4ADC-B012-E2BD1B447A4A</t>
        </is>
      </c>
    </row>
    <row r="171">
      <c r="A171" s="10" t="n">
        <v>170</v>
      </c>
      <c r="B171" s="11" t="inlineStr">
        <is>
          <t>勤業眾信聯合會計師事務所</t>
        </is>
      </c>
      <c r="C171" s="11" t="inlineStr">
        <is>
          <t>Deloitte 勤業眾信</t>
        </is>
      </c>
      <c r="D171" s="11" t="inlineStr">
        <is>
          <t>蔣淑菁</t>
        </is>
      </c>
      <c r="E171" s="10" t="inlineStr">
        <is>
          <t>台中分所</t>
        </is>
      </c>
      <c r="F171" s="12" t="inlineStr">
        <is>
          <t>台中市西屯區惠中路一段88號22樓</t>
        </is>
      </c>
      <c r="G171" s="12" t="inlineStr">
        <is>
          <t>台北市信義區松仁路100號20樓</t>
        </is>
      </c>
      <c r="H171" s="12" t="inlineStr">
        <is>
          <t>台中市西屯區惠中路一段88號22樓</t>
        </is>
      </c>
      <c r="I171" s="10" t="inlineStr">
        <is>
          <t>100/05/25</t>
        </is>
      </c>
      <c r="J171" s="11" t="inlineStr">
        <is>
          <t>全聯會一字第1000213</t>
        </is>
      </c>
      <c r="K171" s="10" t="inlineStr">
        <is>
          <t>中市</t>
        </is>
      </c>
      <c r="L171" s="10" t="inlineStr">
        <is>
          <t>100/12/09</t>
        </is>
      </c>
      <c r="M171" s="10" t="inlineStr">
        <is>
          <t>157</t>
        </is>
      </c>
      <c r="N171" s="10" t="inlineStr">
        <is>
          <t>2026-06-05</t>
        </is>
      </c>
      <c r="O171" s="11" t="inlineStr">
        <is>
          <t>https://www.roccpa.org.tw/member_search/more?id=277EC2C6-9C47-4AF3-B23B-29A9291259CA</t>
        </is>
      </c>
    </row>
    <row r="172">
      <c r="A172" s="10" t="n">
        <v>171</v>
      </c>
      <c r="B172" s="11" t="inlineStr">
        <is>
          <t>勤業眾信聯合會計師事務所</t>
        </is>
      </c>
      <c r="C172" s="11" t="inlineStr">
        <is>
          <t>Deloitte 勤業眾信</t>
        </is>
      </c>
      <c r="D172" s="11" t="inlineStr">
        <is>
          <t>蘇定堅</t>
        </is>
      </c>
      <c r="E172" s="10" t="inlineStr">
        <is>
          <t>台中分所</t>
        </is>
      </c>
      <c r="F172" s="12" t="inlineStr">
        <is>
          <t>台中市西屯區惠中路一段88號22樓</t>
        </is>
      </c>
      <c r="G172" s="12" t="inlineStr">
        <is>
          <t>台北市信義區松仁路100號20樓</t>
        </is>
      </c>
      <c r="H172" s="12" t="inlineStr">
        <is>
          <t>台中市西屯區惠中路一段88號22樓</t>
        </is>
      </c>
      <c r="I172" s="10" t="inlineStr">
        <is>
          <t>107/06/01</t>
        </is>
      </c>
      <c r="J172" s="11" t="inlineStr">
        <is>
          <t>全聯會一字第1070241</t>
        </is>
      </c>
      <c r="K172" s="10" t="inlineStr">
        <is>
          <t>中市</t>
        </is>
      </c>
      <c r="L172" s="10" t="inlineStr">
        <is>
          <t>107/06/01</t>
        </is>
      </c>
      <c r="M172" s="10" t="inlineStr">
        <is>
          <t>954</t>
        </is>
      </c>
      <c r="N172" s="10" t="inlineStr">
        <is>
          <t>2026-06-05</t>
        </is>
      </c>
      <c r="O172" s="11" t="inlineStr">
        <is>
          <t>https://www.roccpa.org.tw/member_search/more?id=44E0983D-9E9C-4A5A-92EF-73ABA23E51EA</t>
        </is>
      </c>
    </row>
    <row r="173">
      <c r="A173" s="10" t="n">
        <v>172</v>
      </c>
      <c r="B173" s="11" t="inlineStr">
        <is>
          <t>勤業眾信聯合會計師事務所</t>
        </is>
      </c>
      <c r="C173" s="11" t="inlineStr">
        <is>
          <t>Deloitte 勤業眾信</t>
        </is>
      </c>
      <c r="D173" s="11" t="inlineStr">
        <is>
          <t>許瑞隆</t>
        </is>
      </c>
      <c r="E173" s="10" t="inlineStr">
        <is>
          <t>台中分所</t>
        </is>
      </c>
      <c r="F173" s="12" t="inlineStr">
        <is>
          <t>台中市西屯區惠中路一段88號22樓</t>
        </is>
      </c>
      <c r="G173" s="12" t="inlineStr">
        <is>
          <t>台北市信義區松仁路100號20樓</t>
        </is>
      </c>
      <c r="H173" s="12" t="inlineStr">
        <is>
          <t>台中市西屯區惠中路一段88號22樓</t>
        </is>
      </c>
      <c r="I173" s="10" t="inlineStr">
        <is>
          <t>113/06/19</t>
        </is>
      </c>
      <c r="J173" s="11" t="inlineStr">
        <is>
          <t>全聯會一字第1130000288號</t>
        </is>
      </c>
      <c r="K173" s="10" t="inlineStr">
        <is>
          <t>中市</t>
        </is>
      </c>
      <c r="L173" s="10" t="inlineStr">
        <is>
          <t>113/06/19</t>
        </is>
      </c>
      <c r="M173" s="10" t="inlineStr">
        <is>
          <t>1114</t>
        </is>
      </c>
      <c r="N173" s="10" t="inlineStr">
        <is>
          <t>2026-06-05</t>
        </is>
      </c>
      <c r="O173" s="11" t="inlineStr">
        <is>
          <t>https://www.roccpa.org.tw/member_search/more?id=BAA8D492-2A59-445C-9C89-F5859B5C492D</t>
        </is>
      </c>
    </row>
    <row r="174">
      <c r="A174" s="10" t="n">
        <v>173</v>
      </c>
      <c r="B174" s="11" t="inlineStr">
        <is>
          <t>勤業眾信聯合會計師事務所</t>
        </is>
      </c>
      <c r="C174" s="11" t="inlineStr">
        <is>
          <t>Deloitte 勤業眾信</t>
        </is>
      </c>
      <c r="D174" s="11" t="inlineStr">
        <is>
          <t>陳端慧</t>
        </is>
      </c>
      <c r="E174" s="10" t="inlineStr">
        <is>
          <t>台中分所</t>
        </is>
      </c>
      <c r="F174" s="12" t="inlineStr">
        <is>
          <t>台中市西屯區惠中路一段88號22樓</t>
        </is>
      </c>
      <c r="G174" s="12" t="inlineStr">
        <is>
          <t>台北市信義區松仁路100號20樓</t>
        </is>
      </c>
      <c r="H174" s="12" t="inlineStr">
        <is>
          <t>台中市西屯區惠中路一段88號22樓</t>
        </is>
      </c>
      <c r="I174" s="10" t="inlineStr">
        <is>
          <t>115/06/15</t>
        </is>
      </c>
      <c r="J174" s="11" t="inlineStr">
        <is>
          <t>全聯會一字第1150000283號</t>
        </is>
      </c>
      <c r="K174" s="10" t="inlineStr">
        <is>
          <t>中市</t>
        </is>
      </c>
      <c r="L174" s="10" t="inlineStr">
        <is>
          <t>115/06/15</t>
        </is>
      </c>
      <c r="M174" s="10" t="inlineStr">
        <is>
          <t>1182</t>
        </is>
      </c>
      <c r="N174" s="10" t="inlineStr">
        <is>
          <t>2026-06-23</t>
        </is>
      </c>
      <c r="O174" s="11" t="inlineStr">
        <is>
          <t>https://www.roccpa.org.tw/member_search/more?id=0262748bc6ed46d3affc1857b7e44076</t>
        </is>
      </c>
    </row>
    <row r="175">
      <c r="A175" s="10" t="n">
        <v>174</v>
      </c>
      <c r="B175" s="11" t="inlineStr">
        <is>
          <t>勤業眾信聯合會計師事務所</t>
        </is>
      </c>
      <c r="C175" s="11" t="inlineStr">
        <is>
          <t>Deloitte 勤業眾信</t>
        </is>
      </c>
      <c r="D175" s="11" t="inlineStr">
        <is>
          <t>顏曉芳</t>
        </is>
      </c>
      <c r="E175" s="10" t="inlineStr">
        <is>
          <t>台中分所</t>
        </is>
      </c>
      <c r="F175" s="12" t="inlineStr">
        <is>
          <t>台中市西屯區惠中路一段88號22樓</t>
        </is>
      </c>
      <c r="G175" s="12" t="inlineStr">
        <is>
          <t>台北市信義區松仁路100號20樓</t>
        </is>
      </c>
      <c r="H175" s="12" t="inlineStr">
        <is>
          <t>台中市西屯區惠中路一段88號22樓</t>
        </is>
      </c>
      <c r="I175" s="10" t="inlineStr">
        <is>
          <t>101/06/04</t>
        </is>
      </c>
      <c r="J175" s="11" t="inlineStr">
        <is>
          <t>全聯會一字第1010181</t>
        </is>
      </c>
      <c r="K175" s="10" t="inlineStr">
        <is>
          <t>中市</t>
        </is>
      </c>
      <c r="L175" s="10" t="inlineStr">
        <is>
          <t>101/06/21</t>
        </is>
      </c>
      <c r="M175" s="10" t="inlineStr">
        <is>
          <t>510</t>
        </is>
      </c>
      <c r="N175" s="10" t="inlineStr">
        <is>
          <t>2026-06-05</t>
        </is>
      </c>
      <c r="O175" s="11" t="inlineStr">
        <is>
          <t>https://www.roccpa.org.tw/member_search/more?id=78B09F49-1DD3-43BD-9C27-2A1E756032F9</t>
        </is>
      </c>
    </row>
    <row r="176">
      <c r="A176" s="10" t="n">
        <v>175</v>
      </c>
      <c r="B176" s="11" t="inlineStr">
        <is>
          <t>勤業眾信聯合會計師事務所</t>
        </is>
      </c>
      <c r="C176" s="11" t="inlineStr">
        <is>
          <t>Deloitte 勤業眾信</t>
        </is>
      </c>
      <c r="D176" s="11" t="inlineStr">
        <is>
          <t>吳長駿</t>
        </is>
      </c>
      <c r="E176" s="10" t="inlineStr">
        <is>
          <t>台南分所</t>
        </is>
      </c>
      <c r="F176" s="12" t="inlineStr">
        <is>
          <t>台南市中西區永福路一段189號13樓</t>
        </is>
      </c>
      <c r="G176" s="12" t="inlineStr">
        <is>
          <t>台北市信義區松仁路100號20樓</t>
        </is>
      </c>
      <c r="H176" s="12" t="inlineStr">
        <is>
          <t>台南市中西區永福路一段189號13樓</t>
        </is>
      </c>
      <c r="I176" s="10" t="inlineStr">
        <is>
          <t>111/06/10</t>
        </is>
      </c>
      <c r="J176" s="11" t="inlineStr">
        <is>
          <t>全聯會一字第1110214</t>
        </is>
      </c>
      <c r="K176" s="10" t="inlineStr">
        <is>
          <t>省</t>
        </is>
      </c>
      <c r="L176" s="10" t="inlineStr">
        <is>
          <t>111/06/10</t>
        </is>
      </c>
      <c r="M176" s="10" t="inlineStr">
        <is>
          <t>4877</t>
        </is>
      </c>
      <c r="N176" s="10" t="inlineStr">
        <is>
          <t>2026-06-05</t>
        </is>
      </c>
      <c r="O176" s="11" t="inlineStr">
        <is>
          <t>https://www.roccpa.org.tw/member_search/more?id=91E25EB5-5385-4BC8-9FE8-1AFC93D3DBCC</t>
        </is>
      </c>
    </row>
    <row r="177">
      <c r="A177" s="10" t="n">
        <v>176</v>
      </c>
      <c r="B177" s="11" t="inlineStr">
        <is>
          <t>勤業眾信聯合會計師事務所</t>
        </is>
      </c>
      <c r="C177" s="11" t="inlineStr">
        <is>
          <t>Deloitte 勤業眾信</t>
        </is>
      </c>
      <c r="D177" s="11" t="inlineStr">
        <is>
          <t>廖鴻儒</t>
        </is>
      </c>
      <c r="E177" s="10" t="inlineStr">
        <is>
          <t>台南分所</t>
        </is>
      </c>
      <c r="F177" s="12" t="inlineStr">
        <is>
          <t>台南市中西區永福路一段189號13樓</t>
        </is>
      </c>
      <c r="G177" s="12" t="inlineStr">
        <is>
          <t>台北市信義區松仁路100號20樓</t>
        </is>
      </c>
      <c r="H177" s="12" t="inlineStr">
        <is>
          <t>台南市中西區永福路一段189號13樓</t>
        </is>
      </c>
      <c r="I177" s="10" t="inlineStr">
        <is>
          <t>099/05/25</t>
        </is>
      </c>
      <c r="J177" s="11" t="inlineStr">
        <is>
          <t>全聯會一字第09900257</t>
        </is>
      </c>
      <c r="K177" s="10" t="inlineStr">
        <is>
          <t>省</t>
        </is>
      </c>
      <c r="L177" s="10" t="inlineStr">
        <is>
          <t>099/06/03</t>
        </is>
      </c>
      <c r="M177" s="10" t="inlineStr">
        <is>
          <t>3703</t>
        </is>
      </c>
      <c r="N177" s="10" t="inlineStr">
        <is>
          <t>2026-06-05</t>
        </is>
      </c>
      <c r="O177" s="11" t="inlineStr">
        <is>
          <t>https://www.roccpa.org.tw/member_search/more?id=AFC9474E-4F03-4229-9764-FFE948E36806</t>
        </is>
      </c>
    </row>
    <row r="178">
      <c r="A178" s="10" t="n">
        <v>177</v>
      </c>
      <c r="B178" s="11" t="inlineStr">
        <is>
          <t>勤業眾信聯合會計師事務所</t>
        </is>
      </c>
      <c r="C178" s="11" t="inlineStr">
        <is>
          <t>Deloitte 勤業眾信</t>
        </is>
      </c>
      <c r="D178" s="11" t="inlineStr">
        <is>
          <t>李季珍</t>
        </is>
      </c>
      <c r="E178" s="10" t="inlineStr">
        <is>
          <t>台南分所</t>
        </is>
      </c>
      <c r="F178" s="12" t="inlineStr">
        <is>
          <t>台南市中西區永福路一段189號13樓</t>
        </is>
      </c>
      <c r="G178" s="12" t="inlineStr">
        <is>
          <t>台北市信義區松仁路100號20樓</t>
        </is>
      </c>
      <c r="H178" s="12" t="inlineStr">
        <is>
          <t>台南市中西區永福路一段189號13樓</t>
        </is>
      </c>
      <c r="I178" s="10" t="inlineStr"/>
      <c r="J178" s="11" t="inlineStr"/>
      <c r="K178" s="10" t="inlineStr">
        <is>
          <t>省</t>
        </is>
      </c>
      <c r="L178" s="10" t="inlineStr">
        <is>
          <t>088/11/11</t>
        </is>
      </c>
      <c r="M178" s="10" t="inlineStr">
        <is>
          <t>2531</t>
        </is>
      </c>
      <c r="N178" s="10" t="inlineStr">
        <is>
          <t>2026-06-05</t>
        </is>
      </c>
      <c r="O178" s="11" t="inlineStr">
        <is>
          <t>https://www.roccpa.org.tw/member_search/more?id=E3219069-275A-4126-94D6-FE76DED9A623</t>
        </is>
      </c>
    </row>
    <row r="179">
      <c r="A179" s="10" t="n">
        <v>178</v>
      </c>
      <c r="B179" s="11" t="inlineStr">
        <is>
          <t>勤業眾信聯合會計師事務所</t>
        </is>
      </c>
      <c r="C179" s="11" t="inlineStr">
        <is>
          <t>Deloitte 勤業眾信</t>
        </is>
      </c>
      <c r="D179" s="11" t="inlineStr">
        <is>
          <t>楊朝欽</t>
        </is>
      </c>
      <c r="E179" s="10" t="inlineStr">
        <is>
          <t>台南分所</t>
        </is>
      </c>
      <c r="F179" s="12" t="inlineStr">
        <is>
          <t>台南市中西區永福路一段189號13樓</t>
        </is>
      </c>
      <c r="G179" s="12" t="inlineStr">
        <is>
          <t>台北市信義區松仁路100號20樓</t>
        </is>
      </c>
      <c r="H179" s="12" t="inlineStr">
        <is>
          <t>台南市中西區永福路一段189號13樓</t>
        </is>
      </c>
      <c r="I179" s="10" t="inlineStr">
        <is>
          <t>106/06/01</t>
        </is>
      </c>
      <c r="J179" s="11" t="inlineStr">
        <is>
          <t>全聯會一字第1060201</t>
        </is>
      </c>
      <c r="K179" s="10" t="inlineStr">
        <is>
          <t>省</t>
        </is>
      </c>
      <c r="L179" s="10" t="inlineStr">
        <is>
          <t>106/06/14</t>
        </is>
      </c>
      <c r="M179" s="10" t="inlineStr">
        <is>
          <t>4578</t>
        </is>
      </c>
      <c r="N179" s="10" t="inlineStr">
        <is>
          <t>2026-06-05</t>
        </is>
      </c>
      <c r="O179" s="11" t="inlineStr">
        <is>
          <t>https://www.roccpa.org.tw/member_search/more?id=0650DA5F-F279-4BA1-A4AB-A3637E963C6E</t>
        </is>
      </c>
    </row>
    <row r="180">
      <c r="A180" s="10" t="n">
        <v>179</v>
      </c>
      <c r="B180" s="11" t="inlineStr">
        <is>
          <t>勤業眾信聯合會計師事務所</t>
        </is>
      </c>
      <c r="C180" s="11" t="inlineStr">
        <is>
          <t>Deloitte 勤業眾信</t>
        </is>
      </c>
      <c r="D180" s="11" t="inlineStr">
        <is>
          <t>蔡育維</t>
        </is>
      </c>
      <c r="E180" s="10" t="inlineStr">
        <is>
          <t>台南分所</t>
        </is>
      </c>
      <c r="F180" s="12" t="inlineStr">
        <is>
          <t>台南市中西區永福路一段189號13樓</t>
        </is>
      </c>
      <c r="G180" s="12" t="inlineStr">
        <is>
          <t>台北市信義區松仁路100號20樓</t>
        </is>
      </c>
      <c r="H180" s="12" t="inlineStr">
        <is>
          <t>台南市中西區永福路一段189號13樓</t>
        </is>
      </c>
      <c r="I180" s="10" t="inlineStr">
        <is>
          <t>101/06/04</t>
        </is>
      </c>
      <c r="J180" s="11" t="inlineStr">
        <is>
          <t>全聯會一字第1010184</t>
        </is>
      </c>
      <c r="K180" s="10" t="inlineStr">
        <is>
          <t>省</t>
        </is>
      </c>
      <c r="L180" s="10" t="inlineStr">
        <is>
          <t>101/06/13</t>
        </is>
      </c>
      <c r="M180" s="10" t="inlineStr">
        <is>
          <t>3972</t>
        </is>
      </c>
      <c r="N180" s="10" t="inlineStr">
        <is>
          <t>2026-06-05</t>
        </is>
      </c>
      <c r="O180" s="11" t="inlineStr">
        <is>
          <t>https://www.roccpa.org.tw/member_search/more?id=8F38A3D3-CBE7-4B86-B626-9F4A6640FA9E</t>
        </is>
      </c>
    </row>
    <row r="181">
      <c r="A181" s="10" t="n">
        <v>180</v>
      </c>
      <c r="B181" s="11" t="inlineStr">
        <is>
          <t>勤業眾信聯合會計師事務所</t>
        </is>
      </c>
      <c r="C181" s="11" t="inlineStr">
        <is>
          <t>Deloitte 勤業眾信</t>
        </is>
      </c>
      <c r="D181" s="11" t="inlineStr">
        <is>
          <t>劉承翰</t>
        </is>
      </c>
      <c r="E181" s="10" t="inlineStr">
        <is>
          <t>高雄分所</t>
        </is>
      </c>
      <c r="F181" s="12" t="inlineStr">
        <is>
          <t>高雄市前鎮區成功二路88號3樓</t>
        </is>
      </c>
      <c r="G181" s="12" t="inlineStr">
        <is>
          <t>台北市信義區松仁路100號20樓</t>
        </is>
      </c>
      <c r="H181" s="12" t="inlineStr">
        <is>
          <t>高雄市前鎮區成功二路88號3樓</t>
        </is>
      </c>
      <c r="I181" s="10" t="inlineStr">
        <is>
          <t>114/06/18</t>
        </is>
      </c>
      <c r="J181" s="11" t="inlineStr">
        <is>
          <t>全聯會一字第1140000250號</t>
        </is>
      </c>
      <c r="K181" s="10" t="inlineStr">
        <is>
          <t>高市</t>
        </is>
      </c>
      <c r="L181" s="10" t="inlineStr">
        <is>
          <t>114/06/18</t>
        </is>
      </c>
      <c r="M181" s="10" t="inlineStr">
        <is>
          <t>1162</t>
        </is>
      </c>
      <c r="N181" s="10" t="inlineStr">
        <is>
          <t>2026-06-05</t>
        </is>
      </c>
      <c r="O181" s="11" t="inlineStr">
        <is>
          <t>https://www.roccpa.org.tw/member_search/more?id=ECD70AFC-DD62-4074-8E35-77E49C5CF3AF</t>
        </is>
      </c>
    </row>
    <row r="182">
      <c r="A182" s="10" t="n">
        <v>181</v>
      </c>
      <c r="B182" s="11" t="inlineStr">
        <is>
          <t>勤業眾信聯合會計師事務所</t>
        </is>
      </c>
      <c r="C182" s="11" t="inlineStr">
        <is>
          <t>Deloitte 勤業眾信</t>
        </is>
      </c>
      <c r="D182" s="11" t="inlineStr">
        <is>
          <t>劉裕祥</t>
        </is>
      </c>
      <c r="E182" s="10" t="inlineStr">
        <is>
          <t>高雄分所</t>
        </is>
      </c>
      <c r="F182" s="12" t="inlineStr">
        <is>
          <t>高雄市前鎮區成功二路88號3樓</t>
        </is>
      </c>
      <c r="G182" s="12" t="inlineStr">
        <is>
          <t>台北市信義區松仁路100號20樓</t>
        </is>
      </c>
      <c r="H182" s="12" t="inlineStr">
        <is>
          <t>高雄市前鎮區成功二路88號3樓</t>
        </is>
      </c>
      <c r="I182" s="10" t="inlineStr">
        <is>
          <t>105/06/01</t>
        </is>
      </c>
      <c r="J182" s="11" t="inlineStr">
        <is>
          <t>全聯會一字第1050255</t>
        </is>
      </c>
      <c r="K182" s="10" t="inlineStr">
        <is>
          <t>高市</t>
        </is>
      </c>
      <c r="L182" s="10" t="inlineStr">
        <is>
          <t>105/06/08</t>
        </is>
      </c>
      <c r="M182" s="10" t="inlineStr">
        <is>
          <t>1005</t>
        </is>
      </c>
      <c r="N182" s="10" t="inlineStr">
        <is>
          <t>2026-06-05</t>
        </is>
      </c>
      <c r="O182" s="11" t="inlineStr">
        <is>
          <t>https://www.roccpa.org.tw/member_search/more?id=05A89081-319F-4756-B067-3CA86DFD6165</t>
        </is>
      </c>
    </row>
    <row r="183">
      <c r="A183" s="10" t="n">
        <v>182</v>
      </c>
      <c r="B183" s="11" t="inlineStr">
        <is>
          <t>勤業眾信聯合會計師事務所</t>
        </is>
      </c>
      <c r="C183" s="11" t="inlineStr">
        <is>
          <t>Deloitte 勤業眾信</t>
        </is>
      </c>
      <c r="D183" s="11" t="inlineStr">
        <is>
          <t>吳秋燕</t>
        </is>
      </c>
      <c r="E183" s="10" t="inlineStr">
        <is>
          <t>高雄分所</t>
        </is>
      </c>
      <c r="F183" s="12" t="inlineStr">
        <is>
          <t>高雄市前鎮區成功二路88號3樓</t>
        </is>
      </c>
      <c r="G183" s="12" t="inlineStr">
        <is>
          <t>台北市信義區松仁路100號20樓</t>
        </is>
      </c>
      <c r="H183" s="12" t="inlineStr">
        <is>
          <t>高雄市前鎮區成功二路88號3樓</t>
        </is>
      </c>
      <c r="I183" s="10" t="inlineStr"/>
      <c r="J183" s="11" t="inlineStr"/>
      <c r="K183" s="10" t="inlineStr">
        <is>
          <t>高市</t>
        </is>
      </c>
      <c r="L183" s="10" t="inlineStr">
        <is>
          <t>088/03/09</t>
        </is>
      </c>
      <c r="M183" s="10" t="inlineStr">
        <is>
          <t>416</t>
        </is>
      </c>
      <c r="N183" s="10" t="inlineStr">
        <is>
          <t>2026-06-05</t>
        </is>
      </c>
      <c r="O183" s="11" t="inlineStr">
        <is>
          <t>https://www.roccpa.org.tw/member_search/more?id=C8F0E334-8EB3-4266-9BC7-A18B89C687FF</t>
        </is>
      </c>
    </row>
    <row r="184">
      <c r="A184" s="10" t="n">
        <v>183</v>
      </c>
      <c r="B184" s="11" t="inlineStr">
        <is>
          <t>勤業眾信聯合會計師事務所</t>
        </is>
      </c>
      <c r="C184" s="11" t="inlineStr">
        <is>
          <t>Deloitte 勤業眾信</t>
        </is>
      </c>
      <c r="D184" s="11" t="inlineStr">
        <is>
          <t>張惟桔</t>
        </is>
      </c>
      <c r="E184" s="10" t="inlineStr">
        <is>
          <t>高雄分所</t>
        </is>
      </c>
      <c r="F184" s="12" t="inlineStr">
        <is>
          <t>高雄市前鎮區成功二路88號3樓</t>
        </is>
      </c>
      <c r="G184" s="12" t="inlineStr">
        <is>
          <t>台北市信義區松仁路100號20樓</t>
        </is>
      </c>
      <c r="H184" s="12" t="inlineStr">
        <is>
          <t>高雄市前鎮區成功二路88號3樓</t>
        </is>
      </c>
      <c r="I184" s="10" t="inlineStr">
        <is>
          <t>105/06/01</t>
        </is>
      </c>
      <c r="J184" s="11" t="inlineStr">
        <is>
          <t>全聯會一字第1050258</t>
        </is>
      </c>
      <c r="K184" s="10" t="inlineStr">
        <is>
          <t>高市</t>
        </is>
      </c>
      <c r="L184" s="10" t="inlineStr">
        <is>
          <t>105/06/08</t>
        </is>
      </c>
      <c r="M184" s="10" t="inlineStr">
        <is>
          <t>1006</t>
        </is>
      </c>
      <c r="N184" s="10" t="inlineStr">
        <is>
          <t>2026-06-05</t>
        </is>
      </c>
      <c r="O184" s="11" t="inlineStr">
        <is>
          <t>https://www.roccpa.org.tw/member_search/more?id=A9356D63-D79A-4831-9DA5-8D6E7678FF43</t>
        </is>
      </c>
    </row>
    <row r="185">
      <c r="A185" s="10" t="n">
        <v>184</v>
      </c>
      <c r="B185" s="11" t="inlineStr">
        <is>
          <t>勤業眾信聯合會計師事務所</t>
        </is>
      </c>
      <c r="C185" s="11" t="inlineStr">
        <is>
          <t>Deloitte 勤業眾信</t>
        </is>
      </c>
      <c r="D185" s="11" t="inlineStr">
        <is>
          <t>張慈媛</t>
        </is>
      </c>
      <c r="E185" s="10" t="inlineStr">
        <is>
          <t>高雄分所</t>
        </is>
      </c>
      <c r="F185" s="12" t="inlineStr">
        <is>
          <t>高雄市前鎮區成功二路88號3樓</t>
        </is>
      </c>
      <c r="G185" s="12" t="inlineStr">
        <is>
          <t>台北市信義區松仁路100號20樓</t>
        </is>
      </c>
      <c r="H185" s="12" t="inlineStr">
        <is>
          <t>高雄市前鎮區成功二路88號3樓</t>
        </is>
      </c>
      <c r="I185" s="10" t="inlineStr">
        <is>
          <t>112/06/08</t>
        </is>
      </c>
      <c r="J185" s="11" t="inlineStr">
        <is>
          <t>全聯會一字第1120225</t>
        </is>
      </c>
      <c r="K185" s="10" t="inlineStr">
        <is>
          <t>高市</t>
        </is>
      </c>
      <c r="L185" s="10" t="inlineStr">
        <is>
          <t>112/06/08</t>
        </is>
      </c>
      <c r="M185" s="10" t="inlineStr">
        <is>
          <t>1106</t>
        </is>
      </c>
      <c r="N185" s="10" t="inlineStr">
        <is>
          <t>2026-06-05</t>
        </is>
      </c>
      <c r="O185" s="11" t="inlineStr">
        <is>
          <t>https://www.roccpa.org.tw/member_search/more?id=85467133-F800-45A7-9A0E-B3BDEBE8AC22</t>
        </is>
      </c>
    </row>
    <row r="186">
      <c r="A186" s="10" t="n">
        <v>185</v>
      </c>
      <c r="B186" s="11" t="inlineStr">
        <is>
          <t>勤業眾信聯合會計師事務所</t>
        </is>
      </c>
      <c r="C186" s="11" t="inlineStr">
        <is>
          <t>Deloitte 勤業眾信</t>
        </is>
      </c>
      <c r="D186" s="11" t="inlineStr">
        <is>
          <t>王兆群</t>
        </is>
      </c>
      <c r="E186" s="10" t="inlineStr">
        <is>
          <t>高雄分所</t>
        </is>
      </c>
      <c r="F186" s="12" t="inlineStr">
        <is>
          <t>高雄市前鎮區成功二路88號3樓</t>
        </is>
      </c>
      <c r="G186" s="12" t="inlineStr">
        <is>
          <t>台北市信義區松仁路100號20樓</t>
        </is>
      </c>
      <c r="H186" s="12" t="inlineStr">
        <is>
          <t>高雄市前鎮區成功二路88號3樓</t>
        </is>
      </c>
      <c r="I186" s="10" t="inlineStr">
        <is>
          <t>109/06/10</t>
        </is>
      </c>
      <c r="J186" s="11" t="inlineStr">
        <is>
          <t>全聯會一字第1090209</t>
        </is>
      </c>
      <c r="K186" s="10" t="inlineStr">
        <is>
          <t>高市</t>
        </is>
      </c>
      <c r="L186" s="10" t="inlineStr">
        <is>
          <t>109/06/10</t>
        </is>
      </c>
      <c r="M186" s="10" t="inlineStr">
        <is>
          <t>1059</t>
        </is>
      </c>
      <c r="N186" s="10" t="inlineStr">
        <is>
          <t>2026-06-05</t>
        </is>
      </c>
      <c r="O186" s="11" t="inlineStr">
        <is>
          <t>https://www.roccpa.org.tw/member_search/more?id=2E195528-2171-416E-91F1-3ACEF9BA49C7</t>
        </is>
      </c>
    </row>
    <row r="187">
      <c r="A187" s="10" t="n">
        <v>186</v>
      </c>
      <c r="B187" s="11" t="inlineStr">
        <is>
          <t>勤業眾信聯合會計師事務所</t>
        </is>
      </c>
      <c r="C187" s="11" t="inlineStr">
        <is>
          <t>Deloitte 勤業眾信</t>
        </is>
      </c>
      <c r="D187" s="11" t="inlineStr">
        <is>
          <t>王騰葦</t>
        </is>
      </c>
      <c r="E187" s="10" t="inlineStr">
        <is>
          <t>高雄分所</t>
        </is>
      </c>
      <c r="F187" s="12" t="inlineStr">
        <is>
          <t>高雄市前鎮區成功二路88號3樓</t>
        </is>
      </c>
      <c r="G187" s="12" t="inlineStr">
        <is>
          <t>台北市信義區松仁路100號20樓</t>
        </is>
      </c>
      <c r="H187" s="12" t="inlineStr">
        <is>
          <t>高雄市前鎮區成功二路88號3樓</t>
        </is>
      </c>
      <c r="I187" s="10" t="inlineStr">
        <is>
          <t>110/06/09</t>
        </is>
      </c>
      <c r="J187" s="11" t="inlineStr">
        <is>
          <t>全聯會一字第1100237</t>
        </is>
      </c>
      <c r="K187" s="10" t="inlineStr">
        <is>
          <t>高市</t>
        </is>
      </c>
      <c r="L187" s="10" t="inlineStr">
        <is>
          <t>110/06/09</t>
        </is>
      </c>
      <c r="M187" s="10" t="inlineStr">
        <is>
          <t>1078</t>
        </is>
      </c>
      <c r="N187" s="10" t="inlineStr">
        <is>
          <t>2026-06-05</t>
        </is>
      </c>
      <c r="O187" s="11" t="inlineStr">
        <is>
          <t>https://www.roccpa.org.tw/member_search/more?id=1B51AB0B-8BAC-4C1B-A055-FC04C7312610</t>
        </is>
      </c>
    </row>
    <row r="188">
      <c r="A188" s="10" t="n">
        <v>187</v>
      </c>
      <c r="B188" s="11" t="inlineStr">
        <is>
          <t>勤業眾信聯合會計師事務所</t>
        </is>
      </c>
      <c r="C188" s="11" t="inlineStr">
        <is>
          <t>Deloitte 勤業眾信</t>
        </is>
      </c>
      <c r="D188" s="11" t="inlineStr">
        <is>
          <t>許凱甯</t>
        </is>
      </c>
      <c r="E188" s="10" t="inlineStr">
        <is>
          <t>高雄分所</t>
        </is>
      </c>
      <c r="F188" s="12" t="inlineStr">
        <is>
          <t>高雄市前鎮區成功二路88號3樓</t>
        </is>
      </c>
      <c r="G188" s="12" t="inlineStr">
        <is>
          <t>台北市信義區松仁路100號20樓</t>
        </is>
      </c>
      <c r="H188" s="12" t="inlineStr">
        <is>
          <t>高雄市前鎮區成功二路88號3樓</t>
        </is>
      </c>
      <c r="I188" s="10" t="inlineStr">
        <is>
          <t>109/06/10</t>
        </is>
      </c>
      <c r="J188" s="11" t="inlineStr">
        <is>
          <t>全聯會一字第1090210</t>
        </is>
      </c>
      <c r="K188" s="10" t="inlineStr">
        <is>
          <t>高市</t>
        </is>
      </c>
      <c r="L188" s="10" t="inlineStr">
        <is>
          <t>109/06/10</t>
        </is>
      </c>
      <c r="M188" s="10" t="inlineStr">
        <is>
          <t>1060</t>
        </is>
      </c>
      <c r="N188" s="10" t="inlineStr">
        <is>
          <t>2026-06-05</t>
        </is>
      </c>
      <c r="O188" s="11" t="inlineStr">
        <is>
          <t>https://www.roccpa.org.tw/member_search/more?id=F1B71C5E-C852-4525-9E44-8D861B5A7F44</t>
        </is>
      </c>
    </row>
    <row r="189">
      <c r="A189" s="10" t="n">
        <v>188</v>
      </c>
      <c r="B189" s="11" t="inlineStr">
        <is>
          <t>勤業眾信聯合會計師事務所</t>
        </is>
      </c>
      <c r="C189" s="11" t="inlineStr">
        <is>
          <t>Deloitte 勤業眾信</t>
        </is>
      </c>
      <c r="D189" s="11" t="inlineStr">
        <is>
          <t>許瑞軒</t>
        </is>
      </c>
      <c r="E189" s="10" t="inlineStr">
        <is>
          <t>高雄分所</t>
        </is>
      </c>
      <c r="F189" s="12" t="inlineStr">
        <is>
          <t>高雄市前鎮區成功二路88號3樓</t>
        </is>
      </c>
      <c r="G189" s="12" t="inlineStr">
        <is>
          <t>台北市信義區松仁路100號20樓</t>
        </is>
      </c>
      <c r="H189" s="12" t="inlineStr">
        <is>
          <t>高雄市前鎮區成功二路88號3樓</t>
        </is>
      </c>
      <c r="I189" s="10" t="inlineStr">
        <is>
          <t>102/06/03</t>
        </is>
      </c>
      <c r="J189" s="11" t="inlineStr">
        <is>
          <t>全聯會一字第1020216</t>
        </is>
      </c>
      <c r="K189" s="10" t="inlineStr">
        <is>
          <t>高市</t>
        </is>
      </c>
      <c r="L189" s="10" t="inlineStr">
        <is>
          <t>102/06/17</t>
        </is>
      </c>
      <c r="M189" s="10" t="inlineStr">
        <is>
          <t>865</t>
        </is>
      </c>
      <c r="N189" s="10" t="inlineStr">
        <is>
          <t>2026-06-05</t>
        </is>
      </c>
      <c r="O189" s="11" t="inlineStr">
        <is>
          <t>https://www.roccpa.org.tw/member_search/more?id=BE12CA4F-5DA6-46A5-AE84-0545D23D70AD</t>
        </is>
      </c>
    </row>
    <row r="190">
      <c r="A190" s="10" t="n">
        <v>189</v>
      </c>
      <c r="B190" s="11" t="inlineStr">
        <is>
          <t>勤業眾信聯合會計師事務所</t>
        </is>
      </c>
      <c r="C190" s="11" t="inlineStr">
        <is>
          <t>Deloitte 勤業眾信</t>
        </is>
      </c>
      <c r="D190" s="11" t="inlineStr">
        <is>
          <t>謝曛如</t>
        </is>
      </c>
      <c r="E190" s="10" t="inlineStr">
        <is>
          <t>高雄分所</t>
        </is>
      </c>
      <c r="F190" s="12" t="inlineStr">
        <is>
          <t>高雄市前鎮區成功二路88號3樓</t>
        </is>
      </c>
      <c r="G190" s="12" t="inlineStr">
        <is>
          <t>台北市信義區松仁路100號20樓</t>
        </is>
      </c>
      <c r="H190" s="12" t="inlineStr">
        <is>
          <t>高雄市前鎮區成功二路88號3樓</t>
        </is>
      </c>
      <c r="I190" s="10" t="inlineStr">
        <is>
          <t>114/06/18</t>
        </is>
      </c>
      <c r="J190" s="11" t="inlineStr">
        <is>
          <t>全聯會一字第1140000249號</t>
        </is>
      </c>
      <c r="K190" s="10" t="inlineStr">
        <is>
          <t>高市</t>
        </is>
      </c>
      <c r="L190" s="10" t="inlineStr">
        <is>
          <t>114/06/18</t>
        </is>
      </c>
      <c r="M190" s="10" t="inlineStr">
        <is>
          <t>1161</t>
        </is>
      </c>
      <c r="N190" s="10" t="inlineStr">
        <is>
          <t>2026-06-05</t>
        </is>
      </c>
      <c r="O190" s="11" t="inlineStr">
        <is>
          <t>https://www.roccpa.org.tw/member_search/more?id=FA9EB531-3484-4033-ADC0-C3F191E2F54C</t>
        </is>
      </c>
    </row>
    <row r="191">
      <c r="A191" s="10" t="n">
        <v>190</v>
      </c>
      <c r="B191" s="11" t="inlineStr">
        <is>
          <t>勤業眾信聯合會計師事務所</t>
        </is>
      </c>
      <c r="C191" s="11" t="inlineStr">
        <is>
          <t>Deloitte 勤業眾信</t>
        </is>
      </c>
      <c r="D191" s="11" t="inlineStr">
        <is>
          <t>賴永發</t>
        </is>
      </c>
      <c r="E191" s="10" t="inlineStr">
        <is>
          <t>高雄分所</t>
        </is>
      </c>
      <c r="F191" s="12" t="inlineStr">
        <is>
          <t>高雄市前鎮區成功二路88號3樓</t>
        </is>
      </c>
      <c r="G191" s="12" t="inlineStr">
        <is>
          <t>台北市信義區松仁路100號20樓</t>
        </is>
      </c>
      <c r="H191" s="12" t="inlineStr">
        <is>
          <t>高雄市前鎮區成功二路88號3樓</t>
        </is>
      </c>
      <c r="I191" s="10" t="inlineStr"/>
      <c r="J191" s="11" t="inlineStr"/>
      <c r="K191" s="10" t="inlineStr">
        <is>
          <t>高市</t>
        </is>
      </c>
      <c r="L191" s="10" t="inlineStr">
        <is>
          <t>094/12/13</t>
        </is>
      </c>
      <c r="M191" s="10" t="inlineStr">
        <is>
          <t>600</t>
        </is>
      </c>
      <c r="N191" s="10" t="inlineStr">
        <is>
          <t>2026-06-05</t>
        </is>
      </c>
      <c r="O191" s="11" t="inlineStr">
        <is>
          <t>https://www.roccpa.org.tw/member_search/more?id=9FD487AE-9B5E-41AE-ABF8-D63C845E611A</t>
        </is>
      </c>
    </row>
    <row r="192">
      <c r="A192" s="10" t="n">
        <v>191</v>
      </c>
      <c r="B192" s="11" t="inlineStr">
        <is>
          <t>勤業眾信聯合會計師事務所</t>
        </is>
      </c>
      <c r="C192" s="11" t="inlineStr">
        <is>
          <t>Deloitte 勤業眾信</t>
        </is>
      </c>
      <c r="D192" s="11" t="inlineStr">
        <is>
          <t>郭麗園</t>
        </is>
      </c>
      <c r="E192" s="10" t="inlineStr">
        <is>
          <t>高雄分所</t>
        </is>
      </c>
      <c r="F192" s="12" t="inlineStr">
        <is>
          <t>高雄市前鎮區成功二路88號3樓</t>
        </is>
      </c>
      <c r="G192" s="12" t="inlineStr">
        <is>
          <t>台北市信義區松仁路100號20樓</t>
        </is>
      </c>
      <c r="H192" s="12" t="inlineStr">
        <is>
          <t>高雄市前鎮區成功二路88號3樓</t>
        </is>
      </c>
      <c r="I192" s="10" t="inlineStr"/>
      <c r="J192" s="11" t="inlineStr"/>
      <c r="K192" s="10" t="inlineStr">
        <is>
          <t>高市</t>
        </is>
      </c>
      <c r="L192" s="10" t="inlineStr">
        <is>
          <t>086/11/14</t>
        </is>
      </c>
      <c r="M192" s="10" t="inlineStr">
        <is>
          <t>386</t>
        </is>
      </c>
      <c r="N192" s="10" t="inlineStr">
        <is>
          <t>2026-06-05</t>
        </is>
      </c>
      <c r="O192" s="11" t="inlineStr">
        <is>
          <t>https://www.roccpa.org.tw/member_search/more?id=626587D3-DE4B-465E-BF85-ABA1F2F0E468</t>
        </is>
      </c>
    </row>
    <row r="193">
      <c r="A193" s="10" t="n">
        <v>192</v>
      </c>
      <c r="B193" s="11" t="inlineStr">
        <is>
          <t>勤業眾信聯合會計師事務所</t>
        </is>
      </c>
      <c r="C193" s="11" t="inlineStr">
        <is>
          <t>Deloitte 勤業眾信</t>
        </is>
      </c>
      <c r="D193" s="11" t="inlineStr">
        <is>
          <t>陳珍麗</t>
        </is>
      </c>
      <c r="E193" s="10" t="inlineStr">
        <is>
          <t>高雄分所</t>
        </is>
      </c>
      <c r="F193" s="12" t="inlineStr">
        <is>
          <t>高雄市前鎮區成功二路88號3樓</t>
        </is>
      </c>
      <c r="G193" s="12" t="inlineStr">
        <is>
          <t>台北市信義區松仁路100號20樓</t>
        </is>
      </c>
      <c r="H193" s="12" t="inlineStr">
        <is>
          <t>高雄市前鎮區成功二路88號3樓</t>
        </is>
      </c>
      <c r="I193" s="10" t="inlineStr">
        <is>
          <t>101/06/04</t>
        </is>
      </c>
      <c r="J193" s="11" t="inlineStr">
        <is>
          <t>全聯會一字第1010182</t>
        </is>
      </c>
      <c r="K193" s="10" t="inlineStr">
        <is>
          <t>高市</t>
        </is>
      </c>
      <c r="L193" s="10" t="inlineStr">
        <is>
          <t>101/06/15</t>
        </is>
      </c>
      <c r="M193" s="10" t="inlineStr">
        <is>
          <t>811</t>
        </is>
      </c>
      <c r="N193" s="10" t="inlineStr">
        <is>
          <t>2026-06-05</t>
        </is>
      </c>
      <c r="O193" s="11" t="inlineStr">
        <is>
          <t>https://www.roccpa.org.tw/member_search/more?id=AE74795C-E316-4CA4-A48F-1F3D9121D614</t>
        </is>
      </c>
    </row>
    <row r="194">
      <c r="A194" s="10" t="n">
        <v>193</v>
      </c>
      <c r="B194" s="11" t="inlineStr">
        <is>
          <t>勤業眾信聯合會計師事務所</t>
        </is>
      </c>
      <c r="C194" s="11" t="inlineStr">
        <is>
          <t>Deloitte 勤業眾信</t>
        </is>
      </c>
      <c r="D194" s="11" t="inlineStr">
        <is>
          <t>陳秀雯</t>
        </is>
      </c>
      <c r="E194" s="10" t="inlineStr">
        <is>
          <t>高雄分所</t>
        </is>
      </c>
      <c r="F194" s="12" t="inlineStr">
        <is>
          <t>高雄市前鎮區成功二路88號3樓</t>
        </is>
      </c>
      <c r="G194" s="12" t="inlineStr">
        <is>
          <t>台北市信義區松仁路100號20樓</t>
        </is>
      </c>
      <c r="H194" s="12" t="inlineStr">
        <is>
          <t>高雄市前鎮區成功二路88號3樓</t>
        </is>
      </c>
      <c r="I194" s="10" t="inlineStr">
        <is>
          <t>112/06/08</t>
        </is>
      </c>
      <c r="J194" s="11" t="inlineStr">
        <is>
          <t>全聯會一字第1120226</t>
        </is>
      </c>
      <c r="K194" s="10" t="inlineStr">
        <is>
          <t>高市</t>
        </is>
      </c>
      <c r="L194" s="10" t="inlineStr">
        <is>
          <t>112/06/08</t>
        </is>
      </c>
      <c r="M194" s="10" t="inlineStr">
        <is>
          <t>1105</t>
        </is>
      </c>
      <c r="N194" s="10" t="inlineStr">
        <is>
          <t>2026-06-05</t>
        </is>
      </c>
      <c r="O194" s="11" t="inlineStr">
        <is>
          <t>https://www.roccpa.org.tw/member_search/more?id=C215069B-2E52-4E2D-8538-4E9AB31BF900</t>
        </is>
      </c>
    </row>
  </sheetData>
  <autoFilter ref="A1:O1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2" customWidth="1" min="4" max="4"/>
    <col width="11" customWidth="1" min="5" max="5"/>
    <col width="40" customWidth="1" min="6" max="6"/>
    <col width="32" customWidth="1" min="7" max="7"/>
    <col width="32" customWidth="1" min="8" max="8"/>
    <col width="14" customWidth="1" min="9" max="9"/>
    <col width="26" customWidth="1" min="10" max="10"/>
    <col width="10" customWidth="1" min="11" max="11"/>
    <col width="12" customWidth="1" min="12" max="12"/>
    <col width="10" customWidth="1" min="13" max="13"/>
    <col width="15" customWidth="1" min="14" max="14"/>
    <col width="60" customWidth="1" min="15" max="15"/>
  </cols>
  <sheetData>
    <row r="1" ht="22" customHeight="1">
      <c r="A1" s="3" t="inlineStr">
        <is>
          <t>序號</t>
        </is>
      </c>
      <c r="B1" s="3" t="inlineStr">
        <is>
          <t>事務所名稱</t>
        </is>
      </c>
      <c r="C1" s="3" t="inlineStr">
        <is>
          <t>國際品牌</t>
        </is>
      </c>
      <c r="D1" s="3" t="inlineStr">
        <is>
          <t>會計師姓名</t>
        </is>
      </c>
      <c r="E1" s="3" t="inlineStr">
        <is>
          <t>所屬分所</t>
        </is>
      </c>
      <c r="F1" s="3" t="inlineStr">
        <is>
          <t>辦公室地址</t>
        </is>
      </c>
      <c r="G1" s="3" t="inlineStr">
        <is>
          <t>主事務所地址</t>
        </is>
      </c>
      <c r="H1" s="3" t="inlineStr">
        <is>
          <t>分事務所地址</t>
        </is>
      </c>
      <c r="I1" s="3" t="inlineStr">
        <is>
          <t>執業登記日期</t>
        </is>
      </c>
      <c r="J1" s="3" t="inlineStr">
        <is>
          <t>執業登記文號</t>
        </is>
      </c>
      <c r="K1" s="3" t="inlineStr">
        <is>
          <t>所屬公會</t>
        </is>
      </c>
      <c r="L1" s="3" t="inlineStr">
        <is>
          <t>入會日期</t>
        </is>
      </c>
      <c r="M1" s="3" t="inlineStr">
        <is>
          <t>會籍編號</t>
        </is>
      </c>
      <c r="N1" s="3" t="inlineStr">
        <is>
          <t>資料最後更新日</t>
        </is>
      </c>
      <c r="O1" s="3" t="inlineStr">
        <is>
          <t>明細連結</t>
        </is>
      </c>
    </row>
    <row r="2">
      <c r="A2" s="10" t="n">
        <v>1</v>
      </c>
      <c r="B2" s="11" t="inlineStr">
        <is>
          <t>資誠聯合會計師事務所</t>
        </is>
      </c>
      <c r="C2" s="11" t="inlineStr">
        <is>
          <t>PwC 資誠</t>
        </is>
      </c>
      <c r="D2" s="11" t="inlineStr">
        <is>
          <t>于智帆</t>
        </is>
      </c>
      <c r="E2" s="10" t="inlineStr">
        <is>
          <t>台北總所</t>
        </is>
      </c>
      <c r="F2" s="12" t="inlineStr">
        <is>
          <t>台北市信義區基隆路一段333號27樓</t>
        </is>
      </c>
      <c r="G2" s="12" t="inlineStr">
        <is>
          <t>台北市信義區基隆路一段333號27樓</t>
        </is>
      </c>
      <c r="H2" s="12" t="inlineStr"/>
      <c r="I2" s="10" t="inlineStr">
        <is>
          <t>111/07/01</t>
        </is>
      </c>
      <c r="J2" s="11" t="inlineStr">
        <is>
          <t>全聯會一字第1110258</t>
        </is>
      </c>
      <c r="K2" s="10" t="inlineStr">
        <is>
          <t>北市</t>
        </is>
      </c>
      <c r="L2" s="10" t="inlineStr">
        <is>
          <t>111/07/01</t>
        </is>
      </c>
      <c r="M2" s="10" t="inlineStr">
        <is>
          <t>4448</t>
        </is>
      </c>
      <c r="N2" s="10" t="inlineStr">
        <is>
          <t>2026-06-05</t>
        </is>
      </c>
      <c r="O2" s="11" t="inlineStr">
        <is>
          <t>https://www.roccpa.org.tw/member_search/more?id=ADD9FA2F-90B1-4F0F-A67E-230F0A2C4CB4</t>
        </is>
      </c>
    </row>
    <row r="3">
      <c r="A3" s="10" t="n">
        <v>2</v>
      </c>
      <c r="B3" s="11" t="inlineStr">
        <is>
          <t>資誠聯合會計師事務所</t>
        </is>
      </c>
      <c r="C3" s="11" t="inlineStr">
        <is>
          <t>PwC 資誠</t>
        </is>
      </c>
      <c r="D3" s="11" t="inlineStr">
        <is>
          <t>余正富</t>
        </is>
      </c>
      <c r="E3" s="10" t="inlineStr">
        <is>
          <t>台北總所</t>
        </is>
      </c>
      <c r="F3" s="12" t="inlineStr">
        <is>
          <t>台北市信義區基隆路一段333號27樓</t>
        </is>
      </c>
      <c r="G3" s="12" t="inlineStr">
        <is>
          <t>台北市信義區基隆路一段333號27樓</t>
        </is>
      </c>
      <c r="H3" s="12" t="inlineStr"/>
      <c r="I3" s="10" t="inlineStr">
        <is>
          <t>113/07/01</t>
        </is>
      </c>
      <c r="J3" s="11" t="inlineStr">
        <is>
          <t>全聯會一字第1130000308號</t>
        </is>
      </c>
      <c r="K3" s="10" t="inlineStr">
        <is>
          <t>北市</t>
        </is>
      </c>
      <c r="L3" s="10" t="inlineStr">
        <is>
          <t>113/07/01</t>
        </is>
      </c>
      <c r="M3" s="10" t="inlineStr">
        <is>
          <t>4651</t>
        </is>
      </c>
      <c r="N3" s="10" t="inlineStr">
        <is>
          <t>2026-06-05</t>
        </is>
      </c>
      <c r="O3" s="11" t="inlineStr">
        <is>
          <t>https://www.roccpa.org.tw/member_search/more?id=A0D371E4-5BA4-4FC7-B010-A6A839F706E3</t>
        </is>
      </c>
    </row>
    <row r="4">
      <c r="A4" s="10" t="n">
        <v>3</v>
      </c>
      <c r="B4" s="11" t="inlineStr">
        <is>
          <t>資誠聯合會計師事務所</t>
        </is>
      </c>
      <c r="C4" s="11" t="inlineStr">
        <is>
          <t>PwC 資誠</t>
        </is>
      </c>
      <c r="D4" s="11" t="inlineStr">
        <is>
          <t>劉國佑</t>
        </is>
      </c>
      <c r="E4" s="10" t="inlineStr">
        <is>
          <t>台北總所</t>
        </is>
      </c>
      <c r="F4" s="12" t="inlineStr">
        <is>
          <t>台北市信義區基隆路一段333號27樓</t>
        </is>
      </c>
      <c r="G4" s="12" t="inlineStr">
        <is>
          <t>台北市信義區基隆路一段333號27樓</t>
        </is>
      </c>
      <c r="H4" s="12" t="inlineStr"/>
      <c r="I4" s="10" t="inlineStr"/>
      <c r="J4" s="11" t="inlineStr"/>
      <c r="K4" s="10" t="inlineStr">
        <is>
          <t>北市</t>
        </is>
      </c>
      <c r="L4" s="10" t="inlineStr">
        <is>
          <t>094/08/19</t>
        </is>
      </c>
      <c r="M4" s="10" t="inlineStr">
        <is>
          <t>2777</t>
        </is>
      </c>
      <c r="N4" s="10" t="inlineStr">
        <is>
          <t>2026-06-05</t>
        </is>
      </c>
      <c r="O4" s="11" t="inlineStr">
        <is>
          <t>https://www.roccpa.org.tw/member_search/more?id=C64B0BBB-A1D8-485C-828A-ED029C4C5247</t>
        </is>
      </c>
    </row>
    <row r="5">
      <c r="A5" s="10" t="n">
        <v>4</v>
      </c>
      <c r="B5" s="11" t="inlineStr">
        <is>
          <t>資誠聯合會計師事務所</t>
        </is>
      </c>
      <c r="C5" s="11" t="inlineStr">
        <is>
          <t>PwC 資誠</t>
        </is>
      </c>
      <c r="D5" s="11" t="inlineStr">
        <is>
          <t>劉欣萍</t>
        </is>
      </c>
      <c r="E5" s="10" t="inlineStr">
        <is>
          <t>台北總所</t>
        </is>
      </c>
      <c r="F5" s="12" t="inlineStr">
        <is>
          <t>台北市信義區基隆路一段333號27樓</t>
        </is>
      </c>
      <c r="G5" s="12" t="inlineStr">
        <is>
          <t>台北市信義區基隆路一段333號27樓</t>
        </is>
      </c>
      <c r="H5" s="12" t="inlineStr"/>
      <c r="I5" s="10" t="inlineStr">
        <is>
          <t>107/06/01</t>
        </is>
      </c>
      <c r="J5" s="11" t="inlineStr">
        <is>
          <t>全聯會一字第1070229</t>
        </is>
      </c>
      <c r="K5" s="10" t="inlineStr">
        <is>
          <t>北市</t>
        </is>
      </c>
      <c r="L5" s="10" t="inlineStr">
        <is>
          <t>107/06/01</t>
        </is>
      </c>
      <c r="M5" s="10" t="inlineStr">
        <is>
          <t>4100</t>
        </is>
      </c>
      <c r="N5" s="10" t="inlineStr">
        <is>
          <t>2026-06-05</t>
        </is>
      </c>
      <c r="O5" s="11" t="inlineStr">
        <is>
          <t>https://www.roccpa.org.tw/member_search/more?id=AEA8C81F-46E2-46D2-A6BB-EB4D960956D2</t>
        </is>
      </c>
    </row>
    <row r="6">
      <c r="A6" s="10" t="n">
        <v>5</v>
      </c>
      <c r="B6" s="11" t="inlineStr">
        <is>
          <t>資誠聯合會計師事務所</t>
        </is>
      </c>
      <c r="C6" s="11" t="inlineStr">
        <is>
          <t>PwC 資誠</t>
        </is>
      </c>
      <c r="D6" s="11" t="inlineStr">
        <is>
          <t>劉穎勳</t>
        </is>
      </c>
      <c r="E6" s="10" t="inlineStr">
        <is>
          <t>台北總所</t>
        </is>
      </c>
      <c r="F6" s="12" t="inlineStr">
        <is>
          <t>台北市信義區基隆路一段333號27樓</t>
        </is>
      </c>
      <c r="G6" s="12" t="inlineStr">
        <is>
          <t>台北市信義區基隆路一段333號27樓</t>
        </is>
      </c>
      <c r="H6" s="12" t="inlineStr"/>
      <c r="I6" s="10" t="inlineStr">
        <is>
          <t>104/07/01</t>
        </is>
      </c>
      <c r="J6" s="11" t="inlineStr">
        <is>
          <t>全聯會一字第1040197</t>
        </is>
      </c>
      <c r="K6" s="10" t="inlineStr">
        <is>
          <t>高市</t>
        </is>
      </c>
      <c r="L6" s="10" t="inlineStr">
        <is>
          <t>104/07/06</t>
        </is>
      </c>
      <c r="M6" s="10" t="inlineStr">
        <is>
          <t>966</t>
        </is>
      </c>
      <c r="N6" s="10" t="inlineStr">
        <is>
          <t>2026-06-05</t>
        </is>
      </c>
      <c r="O6" s="11" t="inlineStr">
        <is>
          <t>https://www.roccpa.org.tw/member_search/more?id=5E79CC7F-DE21-471F-BDBF-BDF2B2750F58</t>
        </is>
      </c>
    </row>
    <row r="7">
      <c r="A7" s="10" t="n">
        <v>6</v>
      </c>
      <c r="B7" s="11" t="inlineStr">
        <is>
          <t>資誠聯合會計師事務所</t>
        </is>
      </c>
      <c r="C7" s="11" t="inlineStr">
        <is>
          <t>PwC 資誠</t>
        </is>
      </c>
      <c r="D7" s="11" t="inlineStr">
        <is>
          <t>吳仁杰</t>
        </is>
      </c>
      <c r="E7" s="10" t="inlineStr">
        <is>
          <t>台北總所</t>
        </is>
      </c>
      <c r="F7" s="12" t="inlineStr">
        <is>
          <t>台北市信義區基隆路一段333號27樓</t>
        </is>
      </c>
      <c r="G7" s="12" t="inlineStr">
        <is>
          <t>台北市信義區基隆路一段333號27樓</t>
        </is>
      </c>
      <c r="H7" s="12" t="inlineStr"/>
      <c r="I7" s="10" t="inlineStr">
        <is>
          <t>112/06/15</t>
        </is>
      </c>
      <c r="J7" s="11" t="inlineStr">
        <is>
          <t>全聯會一字第1120234</t>
        </is>
      </c>
      <c r="K7" s="10" t="inlineStr">
        <is>
          <t>北市</t>
        </is>
      </c>
      <c r="L7" s="10" t="inlineStr">
        <is>
          <t>112/06/15</t>
        </is>
      </c>
      <c r="M7" s="10" t="inlineStr">
        <is>
          <t>4537</t>
        </is>
      </c>
      <c r="N7" s="10" t="inlineStr">
        <is>
          <t>2026-06-05</t>
        </is>
      </c>
      <c r="O7" s="11" t="inlineStr">
        <is>
          <t>https://www.roccpa.org.tw/member_search/more?id=0CEEB349-8A0E-41CF-8B76-32932241B021</t>
        </is>
      </c>
    </row>
    <row r="8">
      <c r="A8" s="10" t="n">
        <v>7</v>
      </c>
      <c r="B8" s="11" t="inlineStr">
        <is>
          <t>資誠聯合會計師事務所</t>
        </is>
      </c>
      <c r="C8" s="11" t="inlineStr">
        <is>
          <t>PwC 資誠</t>
        </is>
      </c>
      <c r="D8" s="11" t="inlineStr">
        <is>
          <t>吳偉臺</t>
        </is>
      </c>
      <c r="E8" s="10" t="inlineStr">
        <is>
          <t>台北總所</t>
        </is>
      </c>
      <c r="F8" s="12" t="inlineStr">
        <is>
          <t>台北市信義區基隆路一段333號27樓</t>
        </is>
      </c>
      <c r="G8" s="12" t="inlineStr">
        <is>
          <t>台北市信義區基隆路一段333號27樓</t>
        </is>
      </c>
      <c r="H8" s="12" t="inlineStr"/>
      <c r="I8" s="10" t="inlineStr">
        <is>
          <t>106/01/09</t>
        </is>
      </c>
      <c r="J8" s="11" t="inlineStr">
        <is>
          <t>全聯會一字第1060038</t>
        </is>
      </c>
      <c r="K8" s="10" t="inlineStr">
        <is>
          <t>北市</t>
        </is>
      </c>
      <c r="L8" s="10" t="inlineStr">
        <is>
          <t>106/01/18</t>
        </is>
      </c>
      <c r="M8" s="10" t="inlineStr">
        <is>
          <t>3987</t>
        </is>
      </c>
      <c r="N8" s="10" t="inlineStr">
        <is>
          <t>2026-06-05</t>
        </is>
      </c>
      <c r="O8" s="11" t="inlineStr">
        <is>
          <t>https://www.roccpa.org.tw/member_search/more?id=1CE1159C-AA51-4AD4-A020-AD1B88ED71F0</t>
        </is>
      </c>
    </row>
    <row r="9">
      <c r="A9" s="10" t="n">
        <v>8</v>
      </c>
      <c r="B9" s="11" t="inlineStr">
        <is>
          <t>資誠聯合會計師事務所</t>
        </is>
      </c>
      <c r="C9" s="11" t="inlineStr">
        <is>
          <t>PwC 資誠</t>
        </is>
      </c>
      <c r="D9" s="11" t="inlineStr">
        <is>
          <t>吳尚燉</t>
        </is>
      </c>
      <c r="E9" s="10" t="inlineStr">
        <is>
          <t>台北總所</t>
        </is>
      </c>
      <c r="F9" s="12" t="inlineStr">
        <is>
          <t>台北市信義區基隆路一段333號27樓</t>
        </is>
      </c>
      <c r="G9" s="12" t="inlineStr">
        <is>
          <t>台北市信義區基隆路一段333號27樓</t>
        </is>
      </c>
      <c r="H9" s="12" t="inlineStr"/>
      <c r="I9" s="10" t="inlineStr">
        <is>
          <t>110/06/15</t>
        </is>
      </c>
      <c r="J9" s="11" t="inlineStr">
        <is>
          <t>全聯會一字第1100238</t>
        </is>
      </c>
      <c r="K9" s="10" t="inlineStr">
        <is>
          <t>北市</t>
        </is>
      </c>
      <c r="L9" s="10" t="inlineStr">
        <is>
          <t>110/06/15</t>
        </is>
      </c>
      <c r="M9" s="10" t="inlineStr">
        <is>
          <t>4341</t>
        </is>
      </c>
      <c r="N9" s="10" t="inlineStr">
        <is>
          <t>2026-06-05</t>
        </is>
      </c>
      <c r="O9" s="11" t="inlineStr">
        <is>
          <t>https://www.roccpa.org.tw/member_search/more?id=57044CB0-CA29-4D3B-8EB9-911576C9C3BA</t>
        </is>
      </c>
    </row>
    <row r="10">
      <c r="A10" s="10" t="n">
        <v>9</v>
      </c>
      <c r="B10" s="11" t="inlineStr">
        <is>
          <t>資誠聯合會計師事務所</t>
        </is>
      </c>
      <c r="C10" s="11" t="inlineStr">
        <is>
          <t>PwC 資誠</t>
        </is>
      </c>
      <c r="D10" s="11" t="inlineStr">
        <is>
          <t>吳建志</t>
        </is>
      </c>
      <c r="E10" s="10" t="inlineStr">
        <is>
          <t>台北總所</t>
        </is>
      </c>
      <c r="F10" s="12" t="inlineStr">
        <is>
          <t>台北市信義區基隆路一段333號27樓</t>
        </is>
      </c>
      <c r="G10" s="12" t="inlineStr">
        <is>
          <t>台北市信義區基隆路一段333號27樓</t>
        </is>
      </c>
      <c r="H10" s="12" t="inlineStr"/>
      <c r="I10" s="10" t="inlineStr">
        <is>
          <t>103/06/11</t>
        </is>
      </c>
      <c r="J10" s="11" t="inlineStr">
        <is>
          <t>全聯會一字第1030223</t>
        </is>
      </c>
      <c r="K10" s="10" t="inlineStr">
        <is>
          <t>高市</t>
        </is>
      </c>
      <c r="L10" s="10" t="inlineStr">
        <is>
          <t>103/06/25</t>
        </is>
      </c>
      <c r="M10" s="10" t="inlineStr">
        <is>
          <t>919</t>
        </is>
      </c>
      <c r="N10" s="10" t="inlineStr">
        <is>
          <t>2026-06-05</t>
        </is>
      </c>
      <c r="O10" s="11" t="inlineStr">
        <is>
          <t>https://www.roccpa.org.tw/member_search/more?id=ECB5C458-9611-45A5-B206-B35D6A3ED3B3</t>
        </is>
      </c>
    </row>
    <row r="11">
      <c r="A11" s="10" t="n">
        <v>10</v>
      </c>
      <c r="B11" s="11" t="inlineStr">
        <is>
          <t>資誠聯合會計師事務所</t>
        </is>
      </c>
      <c r="C11" s="11" t="inlineStr">
        <is>
          <t>PwC 資誠</t>
        </is>
      </c>
      <c r="D11" s="11" t="inlineStr">
        <is>
          <t>周筱姿</t>
        </is>
      </c>
      <c r="E11" s="10" t="inlineStr">
        <is>
          <t>台北總所</t>
        </is>
      </c>
      <c r="F11" s="12" t="inlineStr">
        <is>
          <t>台北市信義區基隆路一段333號27樓</t>
        </is>
      </c>
      <c r="G11" s="12" t="inlineStr">
        <is>
          <t>台北市信義區基隆路一段333號27樓</t>
        </is>
      </c>
      <c r="H11" s="12" t="inlineStr"/>
      <c r="I11" s="10" t="inlineStr"/>
      <c r="J11" s="11" t="inlineStr"/>
      <c r="K11" s="10" t="inlineStr">
        <is>
          <t>北市</t>
        </is>
      </c>
      <c r="L11" s="10" t="inlineStr">
        <is>
          <t>085/09/17</t>
        </is>
      </c>
      <c r="M11" s="10" t="inlineStr">
        <is>
          <t>1833</t>
        </is>
      </c>
      <c r="N11" s="10" t="inlineStr">
        <is>
          <t>2026-06-05</t>
        </is>
      </c>
      <c r="O11" s="11" t="inlineStr">
        <is>
          <t>https://www.roccpa.org.tw/member_search/more?id=14B33E5F-0C83-4FD6-95CA-8DD19B150B2C</t>
        </is>
      </c>
    </row>
    <row r="12">
      <c r="A12" s="10" t="n">
        <v>11</v>
      </c>
      <c r="B12" s="11" t="inlineStr">
        <is>
          <t>資誠聯合會計師事務所</t>
        </is>
      </c>
      <c r="C12" s="11" t="inlineStr">
        <is>
          <t>PwC 資誠</t>
        </is>
      </c>
      <c r="D12" s="11" t="inlineStr">
        <is>
          <t>周莉莉</t>
        </is>
      </c>
      <c r="E12" s="10" t="inlineStr">
        <is>
          <t>台北總所</t>
        </is>
      </c>
      <c r="F12" s="12" t="inlineStr">
        <is>
          <t>台北市信義區基隆路一段333號27樓</t>
        </is>
      </c>
      <c r="G12" s="12" t="inlineStr">
        <is>
          <t>台北市信義區基隆路一段333號27樓</t>
        </is>
      </c>
      <c r="H12" s="12" t="inlineStr"/>
      <c r="I12" s="10" t="inlineStr">
        <is>
          <t>104/07/01</t>
        </is>
      </c>
      <c r="J12" s="11" t="inlineStr">
        <is>
          <t>全聯會一字第1040196</t>
        </is>
      </c>
      <c r="K12" s="10" t="inlineStr">
        <is>
          <t>北市</t>
        </is>
      </c>
      <c r="L12" s="10" t="inlineStr">
        <is>
          <t>104/07/07</t>
        </is>
      </c>
      <c r="M12" s="10" t="inlineStr">
        <is>
          <t>3843</t>
        </is>
      </c>
      <c r="N12" s="10" t="inlineStr">
        <is>
          <t>2026-06-05</t>
        </is>
      </c>
      <c r="O12" s="11" t="inlineStr">
        <is>
          <t>https://www.roccpa.org.tw/member_search/more?id=420783DE-5DCD-4324-8BC1-56CD315C9E66</t>
        </is>
      </c>
    </row>
    <row r="13">
      <c r="A13" s="10" t="n">
        <v>12</v>
      </c>
      <c r="B13" s="11" t="inlineStr">
        <is>
          <t>資誠聯合會計師事務所</t>
        </is>
      </c>
      <c r="C13" s="11" t="inlineStr">
        <is>
          <t>PwC 資誠</t>
        </is>
      </c>
      <c r="D13" s="11" t="inlineStr">
        <is>
          <t>奧田健士</t>
        </is>
      </c>
      <c r="E13" s="10" t="inlineStr">
        <is>
          <t>台北總所</t>
        </is>
      </c>
      <c r="F13" s="12" t="inlineStr">
        <is>
          <t>台北市信義區基隆路一段333號27樓</t>
        </is>
      </c>
      <c r="G13" s="12" t="inlineStr">
        <is>
          <t>台北市信義區基隆路一段333號27樓</t>
        </is>
      </c>
      <c r="H13" s="12" t="inlineStr"/>
      <c r="I13" s="10" t="inlineStr">
        <is>
          <t>110/02/01</t>
        </is>
      </c>
      <c r="J13" s="11" t="inlineStr">
        <is>
          <t>全聯會一字第1100055</t>
        </is>
      </c>
      <c r="K13" s="10" t="inlineStr">
        <is>
          <t>北市</t>
        </is>
      </c>
      <c r="L13" s="10" t="inlineStr">
        <is>
          <t>110/02/01</t>
        </is>
      </c>
      <c r="M13" s="10" t="inlineStr">
        <is>
          <t>4301</t>
        </is>
      </c>
      <c r="N13" s="10" t="inlineStr">
        <is>
          <t>2026-06-05</t>
        </is>
      </c>
      <c r="O13" s="11" t="inlineStr">
        <is>
          <t>https://www.roccpa.org.tw/member_search/more?id=5BD4D921-884E-4340-A067-3ED6FF12DD85</t>
        </is>
      </c>
    </row>
    <row r="14">
      <c r="A14" s="10" t="n">
        <v>13</v>
      </c>
      <c r="B14" s="11" t="inlineStr">
        <is>
          <t>資誠聯合會計師事務所</t>
        </is>
      </c>
      <c r="C14" s="11" t="inlineStr">
        <is>
          <t>PwC 資誠</t>
        </is>
      </c>
      <c r="D14" s="11" t="inlineStr">
        <is>
          <t>廖容翎</t>
        </is>
      </c>
      <c r="E14" s="10" t="inlineStr">
        <is>
          <t>台北總所</t>
        </is>
      </c>
      <c r="F14" s="12" t="inlineStr">
        <is>
          <t>台北市信義區基隆路一段333號27樓</t>
        </is>
      </c>
      <c r="G14" s="12" t="inlineStr">
        <is>
          <t>台北市信義區基隆路一段333號27樓</t>
        </is>
      </c>
      <c r="H14" s="12" t="inlineStr"/>
      <c r="I14" s="10" t="inlineStr">
        <is>
          <t>112/06/15</t>
        </is>
      </c>
      <c r="J14" s="11" t="inlineStr">
        <is>
          <t>全聯會一字第1120236</t>
        </is>
      </c>
      <c r="K14" s="10" t="inlineStr">
        <is>
          <t>北市</t>
        </is>
      </c>
      <c r="L14" s="10" t="inlineStr">
        <is>
          <t>112/06/15</t>
        </is>
      </c>
      <c r="M14" s="10" t="inlineStr">
        <is>
          <t>4539</t>
        </is>
      </c>
      <c r="N14" s="10" t="inlineStr">
        <is>
          <t>2026-06-05</t>
        </is>
      </c>
      <c r="O14" s="11" t="inlineStr">
        <is>
          <t>https://www.roccpa.org.tw/member_search/more?id=4615F950-C870-4BFE-B272-B3DDACA55B41</t>
        </is>
      </c>
    </row>
    <row r="15">
      <c r="A15" s="10" t="n">
        <v>14</v>
      </c>
      <c r="B15" s="11" t="inlineStr">
        <is>
          <t>資誠聯合會計師事務所</t>
        </is>
      </c>
      <c r="C15" s="11" t="inlineStr">
        <is>
          <t>PwC 資誠</t>
        </is>
      </c>
      <c r="D15" s="11" t="inlineStr">
        <is>
          <t>廖福銘</t>
        </is>
      </c>
      <c r="E15" s="10" t="inlineStr">
        <is>
          <t>台北總所</t>
        </is>
      </c>
      <c r="F15" s="12" t="inlineStr">
        <is>
          <t>台北市信義區基隆路一段333號27樓</t>
        </is>
      </c>
      <c r="G15" s="12" t="inlineStr">
        <is>
          <t>台北市信義區基隆路一段333號27樓</t>
        </is>
      </c>
      <c r="H15" s="12" t="inlineStr"/>
      <c r="I15" s="10" t="inlineStr">
        <is>
          <t>109/07/01</t>
        </is>
      </c>
      <c r="J15" s="11" t="inlineStr">
        <is>
          <t>全聯會一字第1090240</t>
        </is>
      </c>
      <c r="K15" s="10" t="inlineStr">
        <is>
          <t>北市</t>
        </is>
      </c>
      <c r="L15" s="10" t="inlineStr">
        <is>
          <t>109/07/01</t>
        </is>
      </c>
      <c r="M15" s="10" t="inlineStr">
        <is>
          <t>4263</t>
        </is>
      </c>
      <c r="N15" s="10" t="inlineStr">
        <is>
          <t>2026-06-05</t>
        </is>
      </c>
      <c r="O15" s="11" t="inlineStr">
        <is>
          <t>https://www.roccpa.org.tw/member_search/more?id=BB108312-90E1-46B0-9831-FAB84B5825DE</t>
        </is>
      </c>
    </row>
    <row r="16">
      <c r="A16" s="10" t="n">
        <v>15</v>
      </c>
      <c r="B16" s="11" t="inlineStr">
        <is>
          <t>資誠聯合會計師事務所</t>
        </is>
      </c>
      <c r="C16" s="11" t="inlineStr">
        <is>
          <t>PwC 資誠</t>
        </is>
      </c>
      <c r="D16" s="11" t="inlineStr">
        <is>
          <t>廖阿甚</t>
        </is>
      </c>
      <c r="E16" s="10" t="inlineStr">
        <is>
          <t>台北總所</t>
        </is>
      </c>
      <c r="F16" s="12" t="inlineStr">
        <is>
          <t>台北市信義區基隆路一段333號27樓</t>
        </is>
      </c>
      <c r="G16" s="12" t="inlineStr">
        <is>
          <t>台北市信義區基隆路一段333號27樓</t>
        </is>
      </c>
      <c r="H16" s="12" t="inlineStr"/>
      <c r="I16" s="10" t="inlineStr">
        <is>
          <t>101/03/30</t>
        </is>
      </c>
      <c r="J16" s="11" t="inlineStr">
        <is>
          <t>全聯會一字第1010109</t>
        </is>
      </c>
      <c r="K16" s="10" t="inlineStr">
        <is>
          <t>高市</t>
        </is>
      </c>
      <c r="L16" s="10" t="inlineStr">
        <is>
          <t>101/06/26</t>
        </is>
      </c>
      <c r="M16" s="10" t="inlineStr">
        <is>
          <t>813</t>
        </is>
      </c>
      <c r="N16" s="10" t="inlineStr">
        <is>
          <t>2026-06-05</t>
        </is>
      </c>
      <c r="O16" s="11" t="inlineStr">
        <is>
          <t>https://www.roccpa.org.tw/member_search/more?id=F800D243-56A1-4459-9EC3-2514C5740609</t>
        </is>
      </c>
    </row>
    <row r="17">
      <c r="A17" s="10" t="n">
        <v>16</v>
      </c>
      <c r="B17" s="11" t="inlineStr">
        <is>
          <t>資誠聯合會計師事務所</t>
        </is>
      </c>
      <c r="C17" s="11" t="inlineStr">
        <is>
          <t>PwC 資誠</t>
        </is>
      </c>
      <c r="D17" s="11" t="inlineStr">
        <is>
          <t>張凱智</t>
        </is>
      </c>
      <c r="E17" s="10" t="inlineStr">
        <is>
          <t>台北總所</t>
        </is>
      </c>
      <c r="F17" s="12" t="inlineStr">
        <is>
          <t>台北市信義區基隆路一段333號27樓</t>
        </is>
      </c>
      <c r="G17" s="12" t="inlineStr">
        <is>
          <t>台北市信義區基隆路一段333號27樓</t>
        </is>
      </c>
      <c r="H17" s="12" t="inlineStr"/>
      <c r="I17" s="10" t="inlineStr">
        <is>
          <t>111/08/01</t>
        </is>
      </c>
      <c r="J17" s="11" t="inlineStr">
        <is>
          <t>全聯會一字第1110311</t>
        </is>
      </c>
      <c r="K17" s="10" t="inlineStr">
        <is>
          <t>北市</t>
        </is>
      </c>
      <c r="L17" s="10" t="inlineStr">
        <is>
          <t>111/08/01</t>
        </is>
      </c>
      <c r="M17" s="10" t="inlineStr">
        <is>
          <t>4453</t>
        </is>
      </c>
      <c r="N17" s="10" t="inlineStr">
        <is>
          <t>2026-06-05</t>
        </is>
      </c>
      <c r="O17" s="11" t="inlineStr">
        <is>
          <t>https://www.roccpa.org.tw/member_search/more?id=068B9D16-7683-4756-9F9D-D0D084A9982F</t>
        </is>
      </c>
    </row>
    <row r="18">
      <c r="A18" s="10" t="n">
        <v>17</v>
      </c>
      <c r="B18" s="11" t="inlineStr">
        <is>
          <t>資誠聯合會計師事務所</t>
        </is>
      </c>
      <c r="C18" s="11" t="inlineStr">
        <is>
          <t>PwC 資誠</t>
        </is>
      </c>
      <c r="D18" s="11" t="inlineStr">
        <is>
          <t>張家荃</t>
        </is>
      </c>
      <c r="E18" s="10" t="inlineStr">
        <is>
          <t>台北總所</t>
        </is>
      </c>
      <c r="F18" s="12" t="inlineStr">
        <is>
          <t>台北市信義區基隆路一段333號27樓</t>
        </is>
      </c>
      <c r="G18" s="12" t="inlineStr">
        <is>
          <t>台北市信義區基隆路一段333號27樓</t>
        </is>
      </c>
      <c r="H18" s="12" t="inlineStr"/>
      <c r="I18" s="10" t="inlineStr">
        <is>
          <t>114/07/01</t>
        </is>
      </c>
      <c r="J18" s="11" t="inlineStr">
        <is>
          <t>全聯會一字第1140000268號</t>
        </is>
      </c>
      <c r="K18" s="10" t="inlineStr">
        <is>
          <t>北市</t>
        </is>
      </c>
      <c r="L18" s="10" t="inlineStr">
        <is>
          <t>114/07/01</t>
        </is>
      </c>
      <c r="M18" s="10" t="inlineStr">
        <is>
          <t>4737</t>
        </is>
      </c>
      <c r="N18" s="10" t="inlineStr">
        <is>
          <t>2026-06-05</t>
        </is>
      </c>
      <c r="O18" s="11" t="inlineStr">
        <is>
          <t>https://www.roccpa.org.tw/member_search/more?id=9AD3652A-72F1-4586-ADD5-845B0D902425</t>
        </is>
      </c>
    </row>
    <row r="19">
      <c r="A19" s="10" t="n">
        <v>18</v>
      </c>
      <c r="B19" s="11" t="inlineStr">
        <is>
          <t>資誠聯合會計師事務所</t>
        </is>
      </c>
      <c r="C19" s="11" t="inlineStr">
        <is>
          <t>PwC 資誠</t>
        </is>
      </c>
      <c r="D19" s="11" t="inlineStr">
        <is>
          <t>張志安</t>
        </is>
      </c>
      <c r="E19" s="10" t="inlineStr">
        <is>
          <t>台北總所</t>
        </is>
      </c>
      <c r="F19" s="12" t="inlineStr">
        <is>
          <t>台北市信義區基隆路一段333號27樓</t>
        </is>
      </c>
      <c r="G19" s="12" t="inlineStr">
        <is>
          <t>台北市信義區基隆路一段333號27樓</t>
        </is>
      </c>
      <c r="H19" s="12" t="inlineStr"/>
      <c r="I19" s="10" t="inlineStr"/>
      <c r="J19" s="11" t="inlineStr"/>
      <c r="K19" s="10" t="inlineStr">
        <is>
          <t>中市</t>
        </is>
      </c>
      <c r="L19" s="10" t="inlineStr">
        <is>
          <t>100/12/29</t>
        </is>
      </c>
      <c r="M19" s="10" t="inlineStr">
        <is>
          <t>288</t>
        </is>
      </c>
      <c r="N19" s="10" t="inlineStr">
        <is>
          <t>2026-06-05</t>
        </is>
      </c>
      <c r="O19" s="11" t="inlineStr">
        <is>
          <t>https://www.roccpa.org.tw/member_search/more?id=332472A1-B02E-43F7-BA31-03FDD54569D4</t>
        </is>
      </c>
    </row>
    <row r="20">
      <c r="A20" s="10" t="n">
        <v>19</v>
      </c>
      <c r="B20" s="11" t="inlineStr">
        <is>
          <t>資誠聯合會計師事務所</t>
        </is>
      </c>
      <c r="C20" s="11" t="inlineStr">
        <is>
          <t>PwC 資誠</t>
        </is>
      </c>
      <c r="D20" s="11" t="inlineStr">
        <is>
          <t>張淑瓊</t>
        </is>
      </c>
      <c r="E20" s="10" t="inlineStr">
        <is>
          <t>台北總所</t>
        </is>
      </c>
      <c r="F20" s="12" t="inlineStr">
        <is>
          <t>台北市信義區基隆路一段333號27樓</t>
        </is>
      </c>
      <c r="G20" s="12" t="inlineStr">
        <is>
          <t>台北市信義區基隆路一段333號27樓</t>
        </is>
      </c>
      <c r="H20" s="12" t="inlineStr"/>
      <c r="I20" s="10" t="inlineStr">
        <is>
          <t>099/07/09</t>
        </is>
      </c>
      <c r="J20" s="11" t="inlineStr">
        <is>
          <t>全聯會一字第09900322</t>
        </is>
      </c>
      <c r="K20" s="10" t="inlineStr">
        <is>
          <t>北市</t>
        </is>
      </c>
      <c r="L20" s="10" t="inlineStr">
        <is>
          <t>099/07/19</t>
        </is>
      </c>
      <c r="M20" s="10" t="inlineStr">
        <is>
          <t>3245</t>
        </is>
      </c>
      <c r="N20" s="10" t="inlineStr">
        <is>
          <t>2026-06-05</t>
        </is>
      </c>
      <c r="O20" s="11" t="inlineStr">
        <is>
          <t>https://www.roccpa.org.tw/member_search/more?id=EE7FC356-E1A2-4B7C-9458-7AEDD7535A7E</t>
        </is>
      </c>
    </row>
    <row r="21">
      <c r="A21" s="10" t="n">
        <v>20</v>
      </c>
      <c r="B21" s="11" t="inlineStr">
        <is>
          <t>資誠聯合會計師事務所</t>
        </is>
      </c>
      <c r="C21" s="11" t="inlineStr">
        <is>
          <t>PwC 資誠</t>
        </is>
      </c>
      <c r="D21" s="11" t="inlineStr">
        <is>
          <t>張珍綺</t>
        </is>
      </c>
      <c r="E21" s="10" t="inlineStr">
        <is>
          <t>台北總所</t>
        </is>
      </c>
      <c r="F21" s="12" t="inlineStr">
        <is>
          <t>台北市信義區基隆路一段333號27樓</t>
        </is>
      </c>
      <c r="G21" s="12" t="inlineStr">
        <is>
          <t>台北市信義區基隆路一段333號27樓</t>
        </is>
      </c>
      <c r="H21" s="12" t="inlineStr"/>
      <c r="I21" s="10" t="inlineStr">
        <is>
          <t>115/07/01</t>
        </is>
      </c>
      <c r="J21" s="11" t="inlineStr">
        <is>
          <t>全聯會一字第1150000324號</t>
        </is>
      </c>
      <c r="K21" s="10" t="inlineStr">
        <is>
          <t>北市</t>
        </is>
      </c>
      <c r="L21" s="10" t="inlineStr">
        <is>
          <t>115/07/01</t>
        </is>
      </c>
      <c r="M21" s="10" t="inlineStr">
        <is>
          <t>4912</t>
        </is>
      </c>
      <c r="N21" s="10" t="inlineStr">
        <is>
          <t>2026-07-06</t>
        </is>
      </c>
      <c r="O21" s="11" t="inlineStr">
        <is>
          <t>https://www.roccpa.org.tw/member_search/more?id=dca64c68795c4e8999caf2a3d6ea4688</t>
        </is>
      </c>
    </row>
    <row r="22">
      <c r="A22" s="10" t="n">
        <v>21</v>
      </c>
      <c r="B22" s="11" t="inlineStr">
        <is>
          <t>資誠聯合會計師事務所</t>
        </is>
      </c>
      <c r="C22" s="11" t="inlineStr">
        <is>
          <t>PwC 資誠</t>
        </is>
      </c>
      <c r="D22" s="11" t="inlineStr">
        <is>
          <t>張瑞婷</t>
        </is>
      </c>
      <c r="E22" s="10" t="inlineStr">
        <is>
          <t>台北總所</t>
        </is>
      </c>
      <c r="F22" s="12" t="inlineStr">
        <is>
          <t>台北市信義區基隆路一段333號27樓</t>
        </is>
      </c>
      <c r="G22" s="12" t="inlineStr">
        <is>
          <t>台北市信義區基隆路一段333號27樓</t>
        </is>
      </c>
      <c r="H22" s="12" t="inlineStr"/>
      <c r="I22" s="10" t="inlineStr">
        <is>
          <t>107/06/01</t>
        </is>
      </c>
      <c r="J22" s="11" t="inlineStr">
        <is>
          <t>全聯會一字第1070227</t>
        </is>
      </c>
      <c r="K22" s="10" t="inlineStr">
        <is>
          <t>北市</t>
        </is>
      </c>
      <c r="L22" s="10" t="inlineStr">
        <is>
          <t>107/06/01</t>
        </is>
      </c>
      <c r="M22" s="10" t="inlineStr">
        <is>
          <t>4098</t>
        </is>
      </c>
      <c r="N22" s="10" t="inlineStr">
        <is>
          <t>2026-06-05</t>
        </is>
      </c>
      <c r="O22" s="11" t="inlineStr">
        <is>
          <t>https://www.roccpa.org.tw/member_search/more?id=73D7038F-FAD5-4EA3-873E-53009AB2756A</t>
        </is>
      </c>
    </row>
    <row r="23">
      <c r="A23" s="10" t="n">
        <v>22</v>
      </c>
      <c r="B23" s="11" t="inlineStr">
        <is>
          <t>資誠聯合會計師事務所</t>
        </is>
      </c>
      <c r="C23" s="11" t="inlineStr">
        <is>
          <t>PwC 資誠</t>
        </is>
      </c>
      <c r="D23" s="11" t="inlineStr">
        <is>
          <t>徐丞毅</t>
        </is>
      </c>
      <c r="E23" s="10" t="inlineStr">
        <is>
          <t>台北總所</t>
        </is>
      </c>
      <c r="F23" s="12" t="inlineStr">
        <is>
          <t>台北市信義區基隆路一段333號27樓</t>
        </is>
      </c>
      <c r="G23" s="12" t="inlineStr">
        <is>
          <t>台北市信義區基隆路一段333號27樓</t>
        </is>
      </c>
      <c r="H23" s="12" t="inlineStr"/>
      <c r="I23" s="10" t="inlineStr">
        <is>
          <t>109/07/01</t>
        </is>
      </c>
      <c r="J23" s="11" t="inlineStr">
        <is>
          <t>全聯會一字第1090239</t>
        </is>
      </c>
      <c r="K23" s="10" t="inlineStr">
        <is>
          <t>北市</t>
        </is>
      </c>
      <c r="L23" s="10" t="inlineStr">
        <is>
          <t>109/07/01</t>
        </is>
      </c>
      <c r="M23" s="10" t="inlineStr">
        <is>
          <t>4262</t>
        </is>
      </c>
      <c r="N23" s="10" t="inlineStr">
        <is>
          <t>2026-06-05</t>
        </is>
      </c>
      <c r="O23" s="11" t="inlineStr">
        <is>
          <t>https://www.roccpa.org.tw/member_search/more?id=74839B88-1FD8-4ADA-BA5A-5957D9785751</t>
        </is>
      </c>
    </row>
    <row r="24">
      <c r="A24" s="10" t="n">
        <v>23</v>
      </c>
      <c r="B24" s="11" t="inlineStr">
        <is>
          <t>資誠聯合會計師事務所</t>
        </is>
      </c>
      <c r="C24" s="11" t="inlineStr">
        <is>
          <t>PwC 資誠</t>
        </is>
      </c>
      <c r="D24" s="11" t="inlineStr">
        <is>
          <t>徐明釧</t>
        </is>
      </c>
      <c r="E24" s="10" t="inlineStr">
        <is>
          <t>台北總所</t>
        </is>
      </c>
      <c r="F24" s="12" t="inlineStr">
        <is>
          <t>台北市信義區基隆路一段333號27樓</t>
        </is>
      </c>
      <c r="G24" s="12" t="inlineStr">
        <is>
          <t>台北市信義區基隆路一段333號27樓</t>
        </is>
      </c>
      <c r="H24" s="12" t="inlineStr"/>
      <c r="I24" s="10" t="inlineStr">
        <is>
          <t>105/06/22</t>
        </is>
      </c>
      <c r="J24" s="11" t="inlineStr">
        <is>
          <t>全聯會一字第1050272</t>
        </is>
      </c>
      <c r="K24" s="10" t="inlineStr">
        <is>
          <t>北市</t>
        </is>
      </c>
      <c r="L24" s="10" t="inlineStr">
        <is>
          <t>105/07/21</t>
        </is>
      </c>
      <c r="M24" s="10" t="inlineStr">
        <is>
          <t>3944</t>
        </is>
      </c>
      <c r="N24" s="10" t="inlineStr">
        <is>
          <t>2026-06-05</t>
        </is>
      </c>
      <c r="O24" s="11" t="inlineStr">
        <is>
          <t>https://www.roccpa.org.tw/member_search/more?id=D86185B7-A5D2-427B-B7F0-B769AB4A9E1E</t>
        </is>
      </c>
    </row>
    <row r="25">
      <c r="A25" s="10" t="n">
        <v>24</v>
      </c>
      <c r="B25" s="11" t="inlineStr">
        <is>
          <t>資誠聯合會計師事務所</t>
        </is>
      </c>
      <c r="C25" s="11" t="inlineStr">
        <is>
          <t>PwC 資誠</t>
        </is>
      </c>
      <c r="D25" s="11" t="inlineStr">
        <is>
          <t>徐潔如</t>
        </is>
      </c>
      <c r="E25" s="10" t="inlineStr">
        <is>
          <t>台北總所</t>
        </is>
      </c>
      <c r="F25" s="12" t="inlineStr">
        <is>
          <t>台北市信義區基隆路一段333號27樓</t>
        </is>
      </c>
      <c r="G25" s="12" t="inlineStr">
        <is>
          <t>台北市信義區基隆路一段333號27樓</t>
        </is>
      </c>
      <c r="H25" s="12" t="inlineStr"/>
      <c r="I25" s="10" t="inlineStr">
        <is>
          <t>110/06/15</t>
        </is>
      </c>
      <c r="J25" s="11" t="inlineStr">
        <is>
          <t>全聯會一字第1100239</t>
        </is>
      </c>
      <c r="K25" s="10" t="inlineStr">
        <is>
          <t>北市</t>
        </is>
      </c>
      <c r="L25" s="10" t="inlineStr">
        <is>
          <t>110/06/15</t>
        </is>
      </c>
      <c r="M25" s="10" t="inlineStr">
        <is>
          <t>4342</t>
        </is>
      </c>
      <c r="N25" s="10" t="inlineStr">
        <is>
          <t>2026-06-05</t>
        </is>
      </c>
      <c r="O25" s="11" t="inlineStr">
        <is>
          <t>https://www.roccpa.org.tw/member_search/more?id=27C4F48A-33B6-417F-9A21-E926975A5473</t>
        </is>
      </c>
    </row>
    <row r="26">
      <c r="A26" s="10" t="n">
        <v>25</v>
      </c>
      <c r="B26" s="11" t="inlineStr">
        <is>
          <t>資誠聯合會計師事務所</t>
        </is>
      </c>
      <c r="C26" s="11" t="inlineStr">
        <is>
          <t>PwC 資誠</t>
        </is>
      </c>
      <c r="D26" s="11" t="inlineStr">
        <is>
          <t>徐聖忠</t>
        </is>
      </c>
      <c r="E26" s="10" t="inlineStr">
        <is>
          <t>台北總所</t>
        </is>
      </c>
      <c r="F26" s="12" t="inlineStr">
        <is>
          <t>台北市信義區基隆路一段333號27樓</t>
        </is>
      </c>
      <c r="G26" s="12" t="inlineStr">
        <is>
          <t>台北市信義區基隆路一段333號27樓</t>
        </is>
      </c>
      <c r="H26" s="12" t="inlineStr"/>
      <c r="I26" s="10" t="inlineStr">
        <is>
          <t>101/06/27</t>
        </is>
      </c>
      <c r="J26" s="11" t="inlineStr">
        <is>
          <t>全聯會一字第1010196</t>
        </is>
      </c>
      <c r="K26" s="10" t="inlineStr">
        <is>
          <t>北市</t>
        </is>
      </c>
      <c r="L26" s="10" t="inlineStr">
        <is>
          <t>101/07/06</t>
        </is>
      </c>
      <c r="M26" s="10" t="inlineStr">
        <is>
          <t>3477</t>
        </is>
      </c>
      <c r="N26" s="10" t="inlineStr">
        <is>
          <t>2026-06-05</t>
        </is>
      </c>
      <c r="O26" s="11" t="inlineStr">
        <is>
          <t>https://www.roccpa.org.tw/member_search/more?id=66C7DBB9-2CAB-4DFC-A367-84EC067254E9</t>
        </is>
      </c>
    </row>
    <row r="27">
      <c r="A27" s="10" t="n">
        <v>26</v>
      </c>
      <c r="B27" s="11" t="inlineStr">
        <is>
          <t>資誠聯合會計師事務所</t>
        </is>
      </c>
      <c r="C27" s="11" t="inlineStr">
        <is>
          <t>PwC 資誠</t>
        </is>
      </c>
      <c r="D27" s="11" t="inlineStr">
        <is>
          <t>徐麗珍</t>
        </is>
      </c>
      <c r="E27" s="10" t="inlineStr">
        <is>
          <t>台北總所</t>
        </is>
      </c>
      <c r="F27" s="12" t="inlineStr">
        <is>
          <t>台北市信義區基隆路一段333號27樓</t>
        </is>
      </c>
      <c r="G27" s="12" t="inlineStr">
        <is>
          <t>台北市信義區基隆路一段333號27樓</t>
        </is>
      </c>
      <c r="H27" s="12" t="inlineStr"/>
      <c r="I27" s="10" t="inlineStr"/>
      <c r="J27" s="11" t="inlineStr"/>
      <c r="K27" s="10" t="inlineStr">
        <is>
          <t>北市</t>
        </is>
      </c>
      <c r="L27" s="10" t="inlineStr">
        <is>
          <t>094/08/19</t>
        </is>
      </c>
      <c r="M27" s="10" t="inlineStr">
        <is>
          <t>2778</t>
        </is>
      </c>
      <c r="N27" s="10" t="inlineStr">
        <is>
          <t>2026-06-05</t>
        </is>
      </c>
      <c r="O27" s="11" t="inlineStr">
        <is>
          <t>https://www.roccpa.org.tw/member_search/more?id=DAB542FE-3AB5-4948-AD71-F0D241EC1165</t>
        </is>
      </c>
    </row>
    <row r="28">
      <c r="A28" s="10" t="n">
        <v>27</v>
      </c>
      <c r="B28" s="11" t="inlineStr">
        <is>
          <t>資誠聯合會計師事務所</t>
        </is>
      </c>
      <c r="C28" s="11" t="inlineStr">
        <is>
          <t>PwC 資誠</t>
        </is>
      </c>
      <c r="D28" s="11" t="inlineStr">
        <is>
          <t>支秉鈞</t>
        </is>
      </c>
      <c r="E28" s="10" t="inlineStr">
        <is>
          <t>台北總所</t>
        </is>
      </c>
      <c r="F28" s="12" t="inlineStr">
        <is>
          <t>台北市信義區基隆路一段333號27樓</t>
        </is>
      </c>
      <c r="G28" s="12" t="inlineStr">
        <is>
          <t>台北市信義區基隆路一段333號27樓</t>
        </is>
      </c>
      <c r="H28" s="12" t="inlineStr"/>
      <c r="I28" s="10" t="inlineStr"/>
      <c r="J28" s="11" t="inlineStr"/>
      <c r="K28" s="10" t="inlineStr">
        <is>
          <t>北市</t>
        </is>
      </c>
      <c r="L28" s="10" t="inlineStr">
        <is>
          <t>087/11/02</t>
        </is>
      </c>
      <c r="M28" s="10" t="inlineStr">
        <is>
          <t>2087</t>
        </is>
      </c>
      <c r="N28" s="10" t="inlineStr">
        <is>
          <t>2026-06-05</t>
        </is>
      </c>
      <c r="O28" s="11" t="inlineStr">
        <is>
          <t>https://www.roccpa.org.tw/member_search/more?id=C3C4EFCE-A0AD-4229-BE5F-29E997D6E606</t>
        </is>
      </c>
    </row>
    <row r="29">
      <c r="A29" s="10" t="n">
        <v>28</v>
      </c>
      <c r="B29" s="11" t="inlineStr">
        <is>
          <t>資誠聯合會計師事務所</t>
        </is>
      </c>
      <c r="C29" s="11" t="inlineStr">
        <is>
          <t>PwC 資誠</t>
        </is>
      </c>
      <c r="D29" s="11" t="inlineStr">
        <is>
          <t>文雅芳</t>
        </is>
      </c>
      <c r="E29" s="10" t="inlineStr">
        <is>
          <t>台北總所</t>
        </is>
      </c>
      <c r="F29" s="12" t="inlineStr">
        <is>
          <t>台北市信義區基隆路一段333號27樓</t>
        </is>
      </c>
      <c r="G29" s="12" t="inlineStr">
        <is>
          <t>台北市信義區基隆路一段333號27樓</t>
        </is>
      </c>
      <c r="H29" s="12" t="inlineStr"/>
      <c r="I29" s="10" t="inlineStr">
        <is>
          <t>110/06/15</t>
        </is>
      </c>
      <c r="J29" s="11" t="inlineStr">
        <is>
          <t>全聯會一字第1100240</t>
        </is>
      </c>
      <c r="K29" s="10" t="inlineStr">
        <is>
          <t>北市</t>
        </is>
      </c>
      <c r="L29" s="10" t="inlineStr">
        <is>
          <t>110/06/15</t>
        </is>
      </c>
      <c r="M29" s="10" t="inlineStr">
        <is>
          <t>4343</t>
        </is>
      </c>
      <c r="N29" s="10" t="inlineStr">
        <is>
          <t>2026-06-05</t>
        </is>
      </c>
      <c r="O29" s="11" t="inlineStr">
        <is>
          <t>https://www.roccpa.org.tw/member_search/more?id=DE57BFF4-7164-4A93-A425-1CE132EE8353</t>
        </is>
      </c>
    </row>
    <row r="30">
      <c r="A30" s="10" t="n">
        <v>29</v>
      </c>
      <c r="B30" s="11" t="inlineStr">
        <is>
          <t>資誠聯合會計師事務所</t>
        </is>
      </c>
      <c r="C30" s="11" t="inlineStr">
        <is>
          <t>PwC 資誠</t>
        </is>
      </c>
      <c r="D30" s="11" t="inlineStr">
        <is>
          <t>施敏智</t>
        </is>
      </c>
      <c r="E30" s="10" t="inlineStr">
        <is>
          <t>台北總所</t>
        </is>
      </c>
      <c r="F30" s="12" t="inlineStr">
        <is>
          <t>台北市信義區基隆路一段333號27樓</t>
        </is>
      </c>
      <c r="G30" s="12" t="inlineStr">
        <is>
          <t>台北市信義區基隆路一段333號27樓</t>
        </is>
      </c>
      <c r="H30" s="12" t="inlineStr"/>
      <c r="I30" s="10" t="inlineStr">
        <is>
          <t>110/07/19</t>
        </is>
      </c>
      <c r="J30" s="11" t="inlineStr">
        <is>
          <t>全聯會一字第1100285</t>
        </is>
      </c>
      <c r="K30" s="10" t="inlineStr">
        <is>
          <t>北市</t>
        </is>
      </c>
      <c r="L30" s="10" t="inlineStr">
        <is>
          <t>110/07/19</t>
        </is>
      </c>
      <c r="M30" s="10" t="inlineStr">
        <is>
          <t>4359</t>
        </is>
      </c>
      <c r="N30" s="10" t="inlineStr">
        <is>
          <t>2026-06-05</t>
        </is>
      </c>
      <c r="O30" s="11" t="inlineStr">
        <is>
          <t>https://www.roccpa.org.tw/member_search/more?id=32F16146-FA80-4510-9F4D-5C6B952F3F91</t>
        </is>
      </c>
    </row>
    <row r="31">
      <c r="A31" s="10" t="n">
        <v>30</v>
      </c>
      <c r="B31" s="11" t="inlineStr">
        <is>
          <t>資誠聯合會計師事務所</t>
        </is>
      </c>
      <c r="C31" s="11" t="inlineStr">
        <is>
          <t>PwC 資誠</t>
        </is>
      </c>
      <c r="D31" s="11" t="inlineStr">
        <is>
          <t>曾博昇</t>
        </is>
      </c>
      <c r="E31" s="10" t="inlineStr">
        <is>
          <t>台北總所</t>
        </is>
      </c>
      <c r="F31" s="12" t="inlineStr">
        <is>
          <t>台北市信義區基隆路一段333號27樓</t>
        </is>
      </c>
      <c r="G31" s="12" t="inlineStr">
        <is>
          <t>台北市信義區基隆路一段333號27樓</t>
        </is>
      </c>
      <c r="H31" s="12" t="inlineStr"/>
      <c r="I31" s="10" t="inlineStr">
        <is>
          <t>105/06/22</t>
        </is>
      </c>
      <c r="J31" s="11" t="inlineStr">
        <is>
          <t>全聯會一字第1050274</t>
        </is>
      </c>
      <c r="K31" s="10" t="inlineStr">
        <is>
          <t>北市</t>
        </is>
      </c>
      <c r="L31" s="10" t="inlineStr">
        <is>
          <t>105/07/21</t>
        </is>
      </c>
      <c r="M31" s="10" t="inlineStr">
        <is>
          <t>3946</t>
        </is>
      </c>
      <c r="N31" s="10" t="inlineStr">
        <is>
          <t>2026-06-05</t>
        </is>
      </c>
      <c r="O31" s="11" t="inlineStr">
        <is>
          <t>https://www.roccpa.org.tw/member_search/more?id=85A5842F-F961-46B2-A4A6-1B5EBEF3DDD0</t>
        </is>
      </c>
    </row>
    <row r="32">
      <c r="A32" s="10" t="n">
        <v>31</v>
      </c>
      <c r="B32" s="11" t="inlineStr">
        <is>
          <t>資誠聯合會計師事務所</t>
        </is>
      </c>
      <c r="C32" s="11" t="inlineStr">
        <is>
          <t>PwC 資誠</t>
        </is>
      </c>
      <c r="D32" s="11" t="inlineStr">
        <is>
          <t>李南漢</t>
        </is>
      </c>
      <c r="E32" s="10" t="inlineStr">
        <is>
          <t>台北總所</t>
        </is>
      </c>
      <c r="F32" s="12" t="inlineStr">
        <is>
          <t>台北市信義區基隆路一段333號27樓</t>
        </is>
      </c>
      <c r="G32" s="12" t="inlineStr">
        <is>
          <t>台北市信義區基隆路一段333號27樓</t>
        </is>
      </c>
      <c r="H32" s="12" t="inlineStr"/>
      <c r="I32" s="10" t="inlineStr">
        <is>
          <t>115/07/01</t>
        </is>
      </c>
      <c r="J32" s="11" t="inlineStr">
        <is>
          <t>全聯會一字第1150000326號</t>
        </is>
      </c>
      <c r="K32" s="10" t="inlineStr">
        <is>
          <t>北市</t>
        </is>
      </c>
      <c r="L32" s="10" t="inlineStr">
        <is>
          <t>115/07/01</t>
        </is>
      </c>
      <c r="M32" s="10" t="inlineStr">
        <is>
          <t>4914</t>
        </is>
      </c>
      <c r="N32" s="10" t="inlineStr">
        <is>
          <t>2026-07-06</t>
        </is>
      </c>
      <c r="O32" s="11" t="inlineStr">
        <is>
          <t>https://www.roccpa.org.tw/member_search/more?id=581be078a8cc4cf68ba2413c163c548e</t>
        </is>
      </c>
    </row>
    <row r="33">
      <c r="A33" s="10" t="n">
        <v>32</v>
      </c>
      <c r="B33" s="11" t="inlineStr">
        <is>
          <t>資誠聯合會計師事務所</t>
        </is>
      </c>
      <c r="C33" s="11" t="inlineStr">
        <is>
          <t>PwC 資誠</t>
        </is>
      </c>
      <c r="D33" s="11" t="inlineStr">
        <is>
          <t>李宜樺</t>
        </is>
      </c>
      <c r="E33" s="10" t="inlineStr">
        <is>
          <t>台北總所</t>
        </is>
      </c>
      <c r="F33" s="12" t="inlineStr">
        <is>
          <t>台北市信義區基隆路一段333號27樓</t>
        </is>
      </c>
      <c r="G33" s="12" t="inlineStr">
        <is>
          <t>台北市信義區基隆路一段333號27樓</t>
        </is>
      </c>
      <c r="H33" s="12" t="inlineStr"/>
      <c r="I33" s="10" t="inlineStr"/>
      <c r="J33" s="11" t="inlineStr"/>
      <c r="K33" s="10" t="inlineStr">
        <is>
          <t>北市</t>
        </is>
      </c>
      <c r="L33" s="10" t="inlineStr">
        <is>
          <t>095/12/01</t>
        </is>
      </c>
      <c r="M33" s="10" t="inlineStr">
        <is>
          <t>2891</t>
        </is>
      </c>
      <c r="N33" s="10" t="inlineStr">
        <is>
          <t>2026-06-05</t>
        </is>
      </c>
      <c r="O33" s="11" t="inlineStr">
        <is>
          <t>https://www.roccpa.org.tw/member_search/more?id=96A72699-413F-4ABD-8F4E-8443EFA3A16F</t>
        </is>
      </c>
    </row>
    <row r="34">
      <c r="A34" s="10" t="n">
        <v>33</v>
      </c>
      <c r="B34" s="11" t="inlineStr">
        <is>
          <t>資誠聯合會計師事務所</t>
        </is>
      </c>
      <c r="C34" s="11" t="inlineStr">
        <is>
          <t>PwC 資誠</t>
        </is>
      </c>
      <c r="D34" s="11" t="inlineStr">
        <is>
          <t>李秀玲</t>
        </is>
      </c>
      <c r="E34" s="10" t="inlineStr">
        <is>
          <t>台北總所</t>
        </is>
      </c>
      <c r="F34" s="12" t="inlineStr">
        <is>
          <t>台北市信義區基隆路一段333號27樓</t>
        </is>
      </c>
      <c r="G34" s="12" t="inlineStr">
        <is>
          <t>台北市信義區基隆路一段333號27樓</t>
        </is>
      </c>
      <c r="H34" s="12" t="inlineStr"/>
      <c r="I34" s="10" t="inlineStr"/>
      <c r="J34" s="11" t="inlineStr"/>
      <c r="K34" s="10" t="inlineStr">
        <is>
          <t>北市</t>
        </is>
      </c>
      <c r="L34" s="10" t="inlineStr">
        <is>
          <t>088/12/08</t>
        </is>
      </c>
      <c r="M34" s="10" t="inlineStr">
        <is>
          <t>2228</t>
        </is>
      </c>
      <c r="N34" s="10" t="inlineStr">
        <is>
          <t>2026-06-05</t>
        </is>
      </c>
      <c r="O34" s="11" t="inlineStr">
        <is>
          <t>https://www.roccpa.org.tw/member_search/more?id=0E0B2E71-6A26-4EEA-9D1F-2CD61AA7ED89</t>
        </is>
      </c>
    </row>
    <row r="35">
      <c r="A35" s="10" t="n">
        <v>34</v>
      </c>
      <c r="B35" s="11" t="inlineStr">
        <is>
          <t>資誠聯合會計師事務所</t>
        </is>
      </c>
      <c r="C35" s="11" t="inlineStr">
        <is>
          <t>PwC 資誠</t>
        </is>
      </c>
      <c r="D35" s="11" t="inlineStr">
        <is>
          <t>林一帆</t>
        </is>
      </c>
      <c r="E35" s="10" t="inlineStr">
        <is>
          <t>台北總所</t>
        </is>
      </c>
      <c r="F35" s="12" t="inlineStr">
        <is>
          <t>台北市信義區基隆路一段333號27樓</t>
        </is>
      </c>
      <c r="G35" s="12" t="inlineStr">
        <is>
          <t>台北市信義區基隆路一段333號27樓</t>
        </is>
      </c>
      <c r="H35" s="12" t="inlineStr"/>
      <c r="I35" s="10" t="inlineStr">
        <is>
          <t>103/02/18</t>
        </is>
      </c>
      <c r="J35" s="11" t="inlineStr">
        <is>
          <t>全聯會一字第1030058</t>
        </is>
      </c>
      <c r="K35" s="10" t="inlineStr">
        <is>
          <t>北市</t>
        </is>
      </c>
      <c r="L35" s="10" t="inlineStr">
        <is>
          <t>103/03/03</t>
        </is>
      </c>
      <c r="M35" s="10" t="inlineStr">
        <is>
          <t>3666</t>
        </is>
      </c>
      <c r="N35" s="10" t="inlineStr">
        <is>
          <t>2026-06-05</t>
        </is>
      </c>
      <c r="O35" s="11" t="inlineStr">
        <is>
          <t>https://www.roccpa.org.tw/member_search/more?id=0808AA7C-0DBE-49F9-8127-063EA682E918</t>
        </is>
      </c>
    </row>
    <row r="36">
      <c r="A36" s="10" t="n">
        <v>35</v>
      </c>
      <c r="B36" s="11" t="inlineStr">
        <is>
          <t>資誠聯合會計師事務所</t>
        </is>
      </c>
      <c r="C36" s="11" t="inlineStr">
        <is>
          <t>PwC 資誠</t>
        </is>
      </c>
      <c r="D36" s="11" t="inlineStr">
        <is>
          <t>林佳鴻</t>
        </is>
      </c>
      <c r="E36" s="10" t="inlineStr">
        <is>
          <t>台北總所</t>
        </is>
      </c>
      <c r="F36" s="12" t="inlineStr">
        <is>
          <t>台北市信義區基隆路一段333號27樓</t>
        </is>
      </c>
      <c r="G36" s="12" t="inlineStr">
        <is>
          <t>台北市信義區基隆路一段333號27樓</t>
        </is>
      </c>
      <c r="H36" s="12" t="inlineStr"/>
      <c r="I36" s="10" t="inlineStr">
        <is>
          <t>108/07/01</t>
        </is>
      </c>
      <c r="J36" s="11" t="inlineStr">
        <is>
          <t>全聯會一字第1080237</t>
        </is>
      </c>
      <c r="K36" s="10" t="inlineStr">
        <is>
          <t>北市</t>
        </is>
      </c>
      <c r="L36" s="10" t="inlineStr">
        <is>
          <t>108/07/01</t>
        </is>
      </c>
      <c r="M36" s="10" t="inlineStr">
        <is>
          <t>4175</t>
        </is>
      </c>
      <c r="N36" s="10" t="inlineStr">
        <is>
          <t>2026-06-05</t>
        </is>
      </c>
      <c r="O36" s="11" t="inlineStr">
        <is>
          <t>https://www.roccpa.org.tw/member_search/more?id=B8017374-D404-476F-A063-EB849A2FAEFA</t>
        </is>
      </c>
    </row>
    <row r="37">
      <c r="A37" s="10" t="n">
        <v>36</v>
      </c>
      <c r="B37" s="11" t="inlineStr">
        <is>
          <t>資誠聯合會計師事務所</t>
        </is>
      </c>
      <c r="C37" s="11" t="inlineStr">
        <is>
          <t>PwC 資誠</t>
        </is>
      </c>
      <c r="D37" s="11" t="inlineStr">
        <is>
          <t>林冠宏</t>
        </is>
      </c>
      <c r="E37" s="10" t="inlineStr">
        <is>
          <t>台北總所</t>
        </is>
      </c>
      <c r="F37" s="12" t="inlineStr">
        <is>
          <t>台北市信義區基隆路一段333號27樓</t>
        </is>
      </c>
      <c r="G37" s="12" t="inlineStr">
        <is>
          <t>台北市信義區基隆路一段333號27樓</t>
        </is>
      </c>
      <c r="H37" s="12" t="inlineStr"/>
      <c r="I37" s="10" t="inlineStr">
        <is>
          <t>111/07/01</t>
        </is>
      </c>
      <c r="J37" s="11" t="inlineStr">
        <is>
          <t>全聯會一字第1110256</t>
        </is>
      </c>
      <c r="K37" s="10" t="inlineStr">
        <is>
          <t>北市</t>
        </is>
      </c>
      <c r="L37" s="10" t="inlineStr">
        <is>
          <t>111/07/01</t>
        </is>
      </c>
      <c r="M37" s="10" t="inlineStr">
        <is>
          <t>4446</t>
        </is>
      </c>
      <c r="N37" s="10" t="inlineStr">
        <is>
          <t>2026-06-05</t>
        </is>
      </c>
      <c r="O37" s="11" t="inlineStr">
        <is>
          <t>https://www.roccpa.org.tw/member_search/more?id=A7966797-EF14-410C-8957-3545736BAAC0</t>
        </is>
      </c>
    </row>
    <row r="38">
      <c r="A38" s="10" t="n">
        <v>37</v>
      </c>
      <c r="B38" s="11" t="inlineStr">
        <is>
          <t>資誠聯合會計師事務所</t>
        </is>
      </c>
      <c r="C38" s="11" t="inlineStr">
        <is>
          <t>PwC 資誠</t>
        </is>
      </c>
      <c r="D38" s="11" t="inlineStr">
        <is>
          <t>林巨峯</t>
        </is>
      </c>
      <c r="E38" s="10" t="inlineStr">
        <is>
          <t>台北總所</t>
        </is>
      </c>
      <c r="F38" s="12" t="inlineStr">
        <is>
          <t>台北市信義區基隆路一段333號27樓</t>
        </is>
      </c>
      <c r="G38" s="12" t="inlineStr">
        <is>
          <t>台北市信義區基隆路一段333號27樓</t>
        </is>
      </c>
      <c r="H38" s="12" t="inlineStr"/>
      <c r="I38" s="10" t="inlineStr">
        <is>
          <t>106/06/01</t>
        </is>
      </c>
      <c r="J38" s="11" t="inlineStr">
        <is>
          <t>全聯會一字第1060208</t>
        </is>
      </c>
      <c r="K38" s="10" t="inlineStr">
        <is>
          <t>北市</t>
        </is>
      </c>
      <c r="L38" s="10" t="inlineStr">
        <is>
          <t>106/06/21</t>
        </is>
      </c>
      <c r="M38" s="10" t="inlineStr">
        <is>
          <t>4023</t>
        </is>
      </c>
      <c r="N38" s="10" t="inlineStr">
        <is>
          <t>2026-06-05</t>
        </is>
      </c>
      <c r="O38" s="11" t="inlineStr">
        <is>
          <t>https://www.roccpa.org.tw/member_search/more?id=EA99C1C5-7715-4168-A109-F6E67DEA91D0</t>
        </is>
      </c>
    </row>
    <row r="39">
      <c r="A39" s="10" t="n">
        <v>38</v>
      </c>
      <c r="B39" s="11" t="inlineStr">
        <is>
          <t>資誠聯合會計師事務所</t>
        </is>
      </c>
      <c r="C39" s="11" t="inlineStr">
        <is>
          <t>PwC 資誠</t>
        </is>
      </c>
      <c r="D39" s="11" t="inlineStr">
        <is>
          <t>林柏全</t>
        </is>
      </c>
      <c r="E39" s="10" t="inlineStr">
        <is>
          <t>台北總所</t>
        </is>
      </c>
      <c r="F39" s="12" t="inlineStr">
        <is>
          <t>台北市信義區基隆路一段333號27樓</t>
        </is>
      </c>
      <c r="G39" s="12" t="inlineStr">
        <is>
          <t>台北市信義區基隆路一段333號27樓</t>
        </is>
      </c>
      <c r="H39" s="12" t="inlineStr"/>
      <c r="I39" s="10" t="inlineStr">
        <is>
          <t>110/06/15</t>
        </is>
      </c>
      <c r="J39" s="11" t="inlineStr">
        <is>
          <t>全聯會一字第110241</t>
        </is>
      </c>
      <c r="K39" s="10" t="inlineStr">
        <is>
          <t>北市</t>
        </is>
      </c>
      <c r="L39" s="10" t="inlineStr">
        <is>
          <t>110/06/15</t>
        </is>
      </c>
      <c r="M39" s="10" t="inlineStr">
        <is>
          <t>4344</t>
        </is>
      </c>
      <c r="N39" s="10" t="inlineStr">
        <is>
          <t>2026-06-05</t>
        </is>
      </c>
      <c r="O39" s="11" t="inlineStr">
        <is>
          <t>https://www.roccpa.org.tw/member_search/more?id=48910A65-A944-442D-B8C1-E5B0961BD25B</t>
        </is>
      </c>
    </row>
    <row r="40">
      <c r="A40" s="10" t="n">
        <v>39</v>
      </c>
      <c r="B40" s="11" t="inlineStr">
        <is>
          <t>資誠聯合會計師事務所</t>
        </is>
      </c>
      <c r="C40" s="11" t="inlineStr">
        <is>
          <t>PwC 資誠</t>
        </is>
      </c>
      <c r="D40" s="11" t="inlineStr">
        <is>
          <t>林永智</t>
        </is>
      </c>
      <c r="E40" s="10" t="inlineStr">
        <is>
          <t>台北總所</t>
        </is>
      </c>
      <c r="F40" s="12" t="inlineStr">
        <is>
          <t>台北市信義區基隆路一段333號27樓</t>
        </is>
      </c>
      <c r="G40" s="12" t="inlineStr">
        <is>
          <t>台北市信義區基隆路一段333號27樓</t>
        </is>
      </c>
      <c r="H40" s="12" t="inlineStr"/>
      <c r="I40" s="10" t="inlineStr">
        <is>
          <t>105/06/22</t>
        </is>
      </c>
      <c r="J40" s="11" t="inlineStr">
        <is>
          <t>全聯會一字第1050275</t>
        </is>
      </c>
      <c r="K40" s="10" t="inlineStr">
        <is>
          <t>北市</t>
        </is>
      </c>
      <c r="L40" s="10" t="inlineStr">
        <is>
          <t>113/10/16</t>
        </is>
      </c>
      <c r="M40" s="10" t="inlineStr">
        <is>
          <t>4671</t>
        </is>
      </c>
      <c r="N40" s="10" t="inlineStr">
        <is>
          <t>2026-06-05</t>
        </is>
      </c>
      <c r="O40" s="11" t="inlineStr">
        <is>
          <t>https://www.roccpa.org.tw/member_search/more?id=94DE7672-E2FE-4CB1-8141-1227BDF01E3C</t>
        </is>
      </c>
    </row>
    <row r="41">
      <c r="A41" s="10" t="n">
        <v>40</v>
      </c>
      <c r="B41" s="11" t="inlineStr">
        <is>
          <t>資誠聯合會計師事務所</t>
        </is>
      </c>
      <c r="C41" s="11" t="inlineStr">
        <is>
          <t>PwC 資誠</t>
        </is>
      </c>
      <c r="D41" s="11" t="inlineStr">
        <is>
          <t>林瑟凱</t>
        </is>
      </c>
      <c r="E41" s="10" t="inlineStr">
        <is>
          <t>台北總所</t>
        </is>
      </c>
      <c r="F41" s="12" t="inlineStr">
        <is>
          <t>台北市信義區基隆路一段333號27樓</t>
        </is>
      </c>
      <c r="G41" s="12" t="inlineStr">
        <is>
          <t>台北市信義區基隆路一段333號27樓</t>
        </is>
      </c>
      <c r="H41" s="12" t="inlineStr"/>
      <c r="I41" s="10" t="inlineStr"/>
      <c r="J41" s="11" t="inlineStr"/>
      <c r="K41" s="10" t="inlineStr">
        <is>
          <t>北市</t>
        </is>
      </c>
      <c r="L41" s="10" t="inlineStr">
        <is>
          <t>096/10/15</t>
        </is>
      </c>
      <c r="M41" s="10" t="inlineStr">
        <is>
          <t>2967</t>
        </is>
      </c>
      <c r="N41" s="10" t="inlineStr">
        <is>
          <t>2026-06-05</t>
        </is>
      </c>
      <c r="O41" s="11" t="inlineStr">
        <is>
          <t>https://www.roccpa.org.tw/member_search/more?id=6FDEA493-9822-460A-90FB-48293036F646</t>
        </is>
      </c>
    </row>
    <row r="42">
      <c r="A42" s="10" t="n">
        <v>41</v>
      </c>
      <c r="B42" s="11" t="inlineStr">
        <is>
          <t>資誠聯合會計師事務所</t>
        </is>
      </c>
      <c r="C42" s="11" t="inlineStr">
        <is>
          <t>PwC 資誠</t>
        </is>
      </c>
      <c r="D42" s="11" t="inlineStr">
        <is>
          <t>林瑩甄</t>
        </is>
      </c>
      <c r="E42" s="10" t="inlineStr">
        <is>
          <t>台北總所</t>
        </is>
      </c>
      <c r="F42" s="12" t="inlineStr">
        <is>
          <t>台北市信義區基隆路一段333號27樓</t>
        </is>
      </c>
      <c r="G42" s="12" t="inlineStr">
        <is>
          <t>台北市信義區基隆路一段333號27樓</t>
        </is>
      </c>
      <c r="H42" s="12" t="inlineStr"/>
      <c r="I42" s="10" t="inlineStr">
        <is>
          <t>112/06/15</t>
        </is>
      </c>
      <c r="J42" s="11" t="inlineStr">
        <is>
          <t>全聯會一字第1120240</t>
        </is>
      </c>
      <c r="K42" s="10" t="inlineStr">
        <is>
          <t>北市</t>
        </is>
      </c>
      <c r="L42" s="10" t="inlineStr">
        <is>
          <t>112/06/15</t>
        </is>
      </c>
      <c r="M42" s="10" t="inlineStr">
        <is>
          <t>4543</t>
        </is>
      </c>
      <c r="N42" s="10" t="inlineStr">
        <is>
          <t>2026-06-05</t>
        </is>
      </c>
      <c r="O42" s="11" t="inlineStr">
        <is>
          <t>https://www.roccpa.org.tw/member_search/more?id=B2AD46C6-81E3-4091-94AF-D3D593DBA59C</t>
        </is>
      </c>
    </row>
    <row r="43">
      <c r="A43" s="10" t="n">
        <v>42</v>
      </c>
      <c r="B43" s="11" t="inlineStr">
        <is>
          <t>資誠聯合會計師事務所</t>
        </is>
      </c>
      <c r="C43" s="11" t="inlineStr">
        <is>
          <t>PwC 資誠</t>
        </is>
      </c>
      <c r="D43" s="11" t="inlineStr">
        <is>
          <t>林維琪</t>
        </is>
      </c>
      <c r="E43" s="10" t="inlineStr">
        <is>
          <t>台北總所</t>
        </is>
      </c>
      <c r="F43" s="12" t="inlineStr">
        <is>
          <t>台北市信義區基隆路一段333號27樓</t>
        </is>
      </c>
      <c r="G43" s="12" t="inlineStr">
        <is>
          <t>台北市信義區基隆路一段333號27樓</t>
        </is>
      </c>
      <c r="H43" s="12" t="inlineStr"/>
      <c r="I43" s="10" t="inlineStr">
        <is>
          <t>106/06/01</t>
        </is>
      </c>
      <c r="J43" s="11" t="inlineStr">
        <is>
          <t>全聯會一字第1060204</t>
        </is>
      </c>
      <c r="K43" s="10" t="inlineStr">
        <is>
          <t>北市</t>
        </is>
      </c>
      <c r="L43" s="10" t="inlineStr">
        <is>
          <t>106/06/12</t>
        </is>
      </c>
      <c r="M43" s="10" t="inlineStr">
        <is>
          <t>4016</t>
        </is>
      </c>
      <c r="N43" s="10" t="inlineStr">
        <is>
          <t>2026-06-05</t>
        </is>
      </c>
      <c r="O43" s="11" t="inlineStr">
        <is>
          <t>https://www.roccpa.org.tw/member_search/more?id=EB22986B-38AE-40E4-879D-8A51FE4DC441</t>
        </is>
      </c>
    </row>
    <row r="44">
      <c r="A44" s="10" t="n">
        <v>43</v>
      </c>
      <c r="B44" s="11" t="inlineStr">
        <is>
          <t>資誠聯合會計師事務所</t>
        </is>
      </c>
      <c r="C44" s="11" t="inlineStr">
        <is>
          <t>PwC 資誠</t>
        </is>
      </c>
      <c r="D44" s="11" t="inlineStr">
        <is>
          <t>林雅慧</t>
        </is>
      </c>
      <c r="E44" s="10" t="inlineStr">
        <is>
          <t>台北總所</t>
        </is>
      </c>
      <c r="F44" s="12" t="inlineStr">
        <is>
          <t>台北市信義區基隆路一段333號27樓</t>
        </is>
      </c>
      <c r="G44" s="12" t="inlineStr">
        <is>
          <t>台北市信義區基隆路一段333號27樓</t>
        </is>
      </c>
      <c r="H44" s="12" t="inlineStr"/>
      <c r="I44" s="10" t="inlineStr">
        <is>
          <t>107/06/01</t>
        </is>
      </c>
      <c r="J44" s="11" t="inlineStr">
        <is>
          <t>全聯會一字第1070225</t>
        </is>
      </c>
      <c r="K44" s="10" t="inlineStr">
        <is>
          <t>北市</t>
        </is>
      </c>
      <c r="L44" s="10" t="inlineStr">
        <is>
          <t>107/06/01</t>
        </is>
      </c>
      <c r="M44" s="10" t="inlineStr">
        <is>
          <t>4096</t>
        </is>
      </c>
      <c r="N44" s="10" t="inlineStr">
        <is>
          <t>2026-06-05</t>
        </is>
      </c>
      <c r="O44" s="11" t="inlineStr">
        <is>
          <t>https://www.roccpa.org.tw/member_search/more?id=D80740F2-0F93-4413-833E-DA1326995BD1</t>
        </is>
      </c>
    </row>
    <row r="45">
      <c r="A45" s="10" t="n">
        <v>44</v>
      </c>
      <c r="B45" s="11" t="inlineStr">
        <is>
          <t>資誠聯合會計師事務所</t>
        </is>
      </c>
      <c r="C45" s="11" t="inlineStr">
        <is>
          <t>PwC 資誠</t>
        </is>
      </c>
      <c r="D45" s="11" t="inlineStr">
        <is>
          <t>林雯瑜</t>
        </is>
      </c>
      <c r="E45" s="10" t="inlineStr">
        <is>
          <t>台北總所</t>
        </is>
      </c>
      <c r="F45" s="12" t="inlineStr">
        <is>
          <t>台北市信義區基隆路一段333號27樓</t>
        </is>
      </c>
      <c r="G45" s="12" t="inlineStr">
        <is>
          <t>台北市信義區基隆路一段333號27樓</t>
        </is>
      </c>
      <c r="H45" s="12" t="inlineStr"/>
      <c r="I45" s="10" t="inlineStr">
        <is>
          <t>112/06/15</t>
        </is>
      </c>
      <c r="J45" s="11" t="inlineStr">
        <is>
          <t>全聯會一字第1120237</t>
        </is>
      </c>
      <c r="K45" s="10" t="inlineStr">
        <is>
          <t>北市</t>
        </is>
      </c>
      <c r="L45" s="10" t="inlineStr">
        <is>
          <t>112/06/15</t>
        </is>
      </c>
      <c r="M45" s="10" t="inlineStr">
        <is>
          <t>4540</t>
        </is>
      </c>
      <c r="N45" s="10" t="inlineStr">
        <is>
          <t>2026-06-05</t>
        </is>
      </c>
      <c r="O45" s="11" t="inlineStr">
        <is>
          <t>https://www.roccpa.org.tw/member_search/more?id=C3F253DD-6A13-43B4-82EF-2A73AF02292B</t>
        </is>
      </c>
    </row>
    <row r="46">
      <c r="A46" s="10" t="n">
        <v>45</v>
      </c>
      <c r="B46" s="11" t="inlineStr">
        <is>
          <t>資誠聯合會計師事務所</t>
        </is>
      </c>
      <c r="C46" s="11" t="inlineStr">
        <is>
          <t>PwC 資誠</t>
        </is>
      </c>
      <c r="D46" s="11" t="inlineStr">
        <is>
          <t>梁嬋女</t>
        </is>
      </c>
      <c r="E46" s="10" t="inlineStr">
        <is>
          <t>台北總所</t>
        </is>
      </c>
      <c r="F46" s="12" t="inlineStr">
        <is>
          <t>台北市信義區基隆路一段333號27樓</t>
        </is>
      </c>
      <c r="G46" s="12" t="inlineStr">
        <is>
          <t>台北市信義區基隆路一段333號27樓</t>
        </is>
      </c>
      <c r="H46" s="12" t="inlineStr"/>
      <c r="I46" s="10" t="inlineStr"/>
      <c r="J46" s="11" t="inlineStr"/>
      <c r="K46" s="10" t="inlineStr">
        <is>
          <t>北市</t>
        </is>
      </c>
      <c r="L46" s="10" t="inlineStr">
        <is>
          <t>096/05/23</t>
        </is>
      </c>
      <c r="M46" s="10" t="inlineStr">
        <is>
          <t>2943</t>
        </is>
      </c>
      <c r="N46" s="10" t="inlineStr">
        <is>
          <t>2026-06-05</t>
        </is>
      </c>
      <c r="O46" s="11" t="inlineStr">
        <is>
          <t>https://www.roccpa.org.tw/member_search/more?id=098CB1EE-905F-4570-BC12-0D86B27E8712</t>
        </is>
      </c>
    </row>
    <row r="47">
      <c r="A47" s="10" t="n">
        <v>46</v>
      </c>
      <c r="B47" s="11" t="inlineStr">
        <is>
          <t>資誠聯合會計師事務所</t>
        </is>
      </c>
      <c r="C47" s="11" t="inlineStr">
        <is>
          <t>PwC 資誠</t>
        </is>
      </c>
      <c r="D47" s="11" t="inlineStr">
        <is>
          <t>梁益彰</t>
        </is>
      </c>
      <c r="E47" s="10" t="inlineStr">
        <is>
          <t>台北總所</t>
        </is>
      </c>
      <c r="F47" s="12" t="inlineStr">
        <is>
          <t>台北市信義區基隆路一段333號27樓</t>
        </is>
      </c>
      <c r="G47" s="12" t="inlineStr">
        <is>
          <t>台北市信義區基隆路一段333號27樓</t>
        </is>
      </c>
      <c r="H47" s="12" t="inlineStr"/>
      <c r="I47" s="10" t="inlineStr"/>
      <c r="J47" s="11" t="inlineStr"/>
      <c r="K47" s="10" t="inlineStr">
        <is>
          <t>北市</t>
        </is>
      </c>
      <c r="L47" s="10" t="inlineStr">
        <is>
          <t>091/11/27</t>
        </is>
      </c>
      <c r="M47" s="10" t="inlineStr">
        <is>
          <t>2507</t>
        </is>
      </c>
      <c r="N47" s="10" t="inlineStr">
        <is>
          <t>2026-06-05</t>
        </is>
      </c>
      <c r="O47" s="11" t="inlineStr">
        <is>
          <t>https://www.roccpa.org.tw/member_search/more?id=D95D5EBD-792D-43EC-BB57-AF134BC5E362</t>
        </is>
      </c>
    </row>
    <row r="48">
      <c r="A48" s="10" t="n">
        <v>47</v>
      </c>
      <c r="B48" s="11" t="inlineStr">
        <is>
          <t>資誠聯合會計師事務所</t>
        </is>
      </c>
      <c r="C48" s="11" t="inlineStr">
        <is>
          <t>PwC 資誠</t>
        </is>
      </c>
      <c r="D48" s="11" t="inlineStr">
        <is>
          <t>梁華玲</t>
        </is>
      </c>
      <c r="E48" s="10" t="inlineStr">
        <is>
          <t>台北總所</t>
        </is>
      </c>
      <c r="F48" s="12" t="inlineStr">
        <is>
          <t>台北市信義區基隆路一段333號27樓</t>
        </is>
      </c>
      <c r="G48" s="12" t="inlineStr">
        <is>
          <t>台北市信義區基隆路一段333號27樓</t>
        </is>
      </c>
      <c r="H48" s="12" t="inlineStr"/>
      <c r="I48" s="10" t="inlineStr"/>
      <c r="J48" s="11" t="inlineStr"/>
      <c r="K48" s="10" t="inlineStr">
        <is>
          <t>北市</t>
        </is>
      </c>
      <c r="L48" s="10" t="inlineStr">
        <is>
          <t>086/08/28</t>
        </is>
      </c>
      <c r="M48" s="10" t="inlineStr">
        <is>
          <t>1940</t>
        </is>
      </c>
      <c r="N48" s="10" t="inlineStr">
        <is>
          <t>2026-06-05</t>
        </is>
      </c>
      <c r="O48" s="11" t="inlineStr">
        <is>
          <t>https://www.roccpa.org.tw/member_search/more?id=545CC8E3-B370-4EBF-9250-0CDB707B5868</t>
        </is>
      </c>
    </row>
    <row r="49">
      <c r="A49" s="10" t="n">
        <v>48</v>
      </c>
      <c r="B49" s="11" t="inlineStr">
        <is>
          <t>資誠聯合會計師事務所</t>
        </is>
      </c>
      <c r="C49" s="11" t="inlineStr">
        <is>
          <t>PwC 資誠</t>
        </is>
      </c>
      <c r="D49" s="11" t="inlineStr">
        <is>
          <t>楊蕙慈</t>
        </is>
      </c>
      <c r="E49" s="10" t="inlineStr">
        <is>
          <t>台北總所</t>
        </is>
      </c>
      <c r="F49" s="12" t="inlineStr">
        <is>
          <t>台北市信義區基隆路一段333號27樓</t>
        </is>
      </c>
      <c r="G49" s="12" t="inlineStr">
        <is>
          <t>台北市信義區基隆路一段333號27樓</t>
        </is>
      </c>
      <c r="H49" s="12" t="inlineStr"/>
      <c r="I49" s="10" t="inlineStr">
        <is>
          <t>113/07/01</t>
        </is>
      </c>
      <c r="J49" s="11" t="inlineStr">
        <is>
          <t>全聯會一字第1130000303號</t>
        </is>
      </c>
      <c r="K49" s="10" t="inlineStr">
        <is>
          <t>北市</t>
        </is>
      </c>
      <c r="L49" s="10" t="inlineStr">
        <is>
          <t>113/07/01</t>
        </is>
      </c>
      <c r="M49" s="10" t="inlineStr">
        <is>
          <t>4646</t>
        </is>
      </c>
      <c r="N49" s="10" t="inlineStr">
        <is>
          <t>2026-06-05</t>
        </is>
      </c>
      <c r="O49" s="11" t="inlineStr">
        <is>
          <t>https://www.roccpa.org.tw/member_search/more?id=9DB93F0C-A4CC-42B0-8778-8B4020758322</t>
        </is>
      </c>
    </row>
    <row r="50">
      <c r="A50" s="10" t="n">
        <v>49</v>
      </c>
      <c r="B50" s="11" t="inlineStr">
        <is>
          <t>資誠聯合會計師事務所</t>
        </is>
      </c>
      <c r="C50" s="11" t="inlineStr">
        <is>
          <t>PwC 資誠</t>
        </is>
      </c>
      <c r="D50" s="11" t="inlineStr">
        <is>
          <t>歐陽泓</t>
        </is>
      </c>
      <c r="E50" s="10" t="inlineStr">
        <is>
          <t>台北總所</t>
        </is>
      </c>
      <c r="F50" s="12" t="inlineStr">
        <is>
          <t>台北市信義區基隆路一段333號27樓</t>
        </is>
      </c>
      <c r="G50" s="12" t="inlineStr">
        <is>
          <t>台北市信義區基隆路一段333號27樓</t>
        </is>
      </c>
      <c r="H50" s="12" t="inlineStr"/>
      <c r="I50" s="10" t="inlineStr">
        <is>
          <t>113/07/01</t>
        </is>
      </c>
      <c r="J50" s="11" t="inlineStr">
        <is>
          <t>全聯會一字第1130000305號</t>
        </is>
      </c>
      <c r="K50" s="10" t="inlineStr">
        <is>
          <t>北市</t>
        </is>
      </c>
      <c r="L50" s="10" t="inlineStr">
        <is>
          <t>113/07/01</t>
        </is>
      </c>
      <c r="M50" s="10" t="inlineStr">
        <is>
          <t>4648</t>
        </is>
      </c>
      <c r="N50" s="10" t="inlineStr">
        <is>
          <t>2026-06-05</t>
        </is>
      </c>
      <c r="O50" s="11" t="inlineStr">
        <is>
          <t>https://www.roccpa.org.tw/member_search/more?id=7707937B-8423-47D0-8401-7BBB9B9844EE</t>
        </is>
      </c>
    </row>
    <row r="51">
      <c r="A51" s="10" t="n">
        <v>50</v>
      </c>
      <c r="B51" s="11" t="inlineStr">
        <is>
          <t>資誠聯合會計師事務所</t>
        </is>
      </c>
      <c r="C51" s="11" t="inlineStr">
        <is>
          <t>PwC 資誠</t>
        </is>
      </c>
      <c r="D51" s="11" t="inlineStr">
        <is>
          <t>段士良</t>
        </is>
      </c>
      <c r="E51" s="10" t="inlineStr">
        <is>
          <t>台北總所</t>
        </is>
      </c>
      <c r="F51" s="12" t="inlineStr">
        <is>
          <t>台北市信義區基隆路一段333號27樓</t>
        </is>
      </c>
      <c r="G51" s="12" t="inlineStr">
        <is>
          <t>台北市信義區基隆路一段333號27樓</t>
        </is>
      </c>
      <c r="H51" s="12" t="inlineStr"/>
      <c r="I51" s="10" t="inlineStr">
        <is>
          <t>101/07/09</t>
        </is>
      </c>
      <c r="J51" s="11" t="inlineStr">
        <is>
          <t>全聯會一字第1010214</t>
        </is>
      </c>
      <c r="K51" s="10" t="inlineStr">
        <is>
          <t>北市</t>
        </is>
      </c>
      <c r="L51" s="10" t="inlineStr">
        <is>
          <t>101/07/10</t>
        </is>
      </c>
      <c r="M51" s="10" t="inlineStr">
        <is>
          <t>3478</t>
        </is>
      </c>
      <c r="N51" s="10" t="inlineStr">
        <is>
          <t>2026-06-05</t>
        </is>
      </c>
      <c r="O51" s="11" t="inlineStr">
        <is>
          <t>https://www.roccpa.org.tw/member_search/more?id=FC4D3003-09BB-4B26-870B-FAD823599A1D</t>
        </is>
      </c>
    </row>
    <row r="52">
      <c r="A52" s="10" t="n">
        <v>51</v>
      </c>
      <c r="B52" s="11" t="inlineStr">
        <is>
          <t>資誠聯合會計師事務所</t>
        </is>
      </c>
      <c r="C52" s="11" t="inlineStr">
        <is>
          <t>PwC 資誠</t>
        </is>
      </c>
      <c r="D52" s="11" t="inlineStr">
        <is>
          <t>江怡馨</t>
        </is>
      </c>
      <c r="E52" s="10" t="inlineStr">
        <is>
          <t>台北總所</t>
        </is>
      </c>
      <c r="F52" s="12" t="inlineStr">
        <is>
          <t>台北市信義區基隆路一段333號27樓</t>
        </is>
      </c>
      <c r="G52" s="12" t="inlineStr">
        <is>
          <t>台北市信義區基隆路一段333號27樓</t>
        </is>
      </c>
      <c r="H52" s="12" t="inlineStr"/>
      <c r="I52" s="10" t="inlineStr">
        <is>
          <t>115/07/01</t>
        </is>
      </c>
      <c r="J52" s="11" t="inlineStr">
        <is>
          <t>全聯會一字第1150000323號</t>
        </is>
      </c>
      <c r="K52" s="10" t="inlineStr">
        <is>
          <t>北市</t>
        </is>
      </c>
      <c r="L52" s="10" t="inlineStr">
        <is>
          <t>115/07/01</t>
        </is>
      </c>
      <c r="M52" s="10" t="inlineStr">
        <is>
          <t>4911</t>
        </is>
      </c>
      <c r="N52" s="10" t="inlineStr">
        <is>
          <t>2026-07-06</t>
        </is>
      </c>
      <c r="O52" s="11" t="inlineStr">
        <is>
          <t>https://www.roccpa.org.tw/member_search/more?id=52403feb0c5f4851bc8ff3ed43ecebeb</t>
        </is>
      </c>
    </row>
    <row r="53">
      <c r="A53" s="10" t="n">
        <v>52</v>
      </c>
      <c r="B53" s="11" t="inlineStr">
        <is>
          <t>資誠聯合會計師事務所</t>
        </is>
      </c>
      <c r="C53" s="11" t="inlineStr">
        <is>
          <t>PwC 資誠</t>
        </is>
      </c>
      <c r="D53" s="11" t="inlineStr">
        <is>
          <t>洪連盛</t>
        </is>
      </c>
      <c r="E53" s="10" t="inlineStr">
        <is>
          <t>台北總所</t>
        </is>
      </c>
      <c r="F53" s="12" t="inlineStr">
        <is>
          <t>台北市信義區基隆路一段333號27樓</t>
        </is>
      </c>
      <c r="G53" s="12" t="inlineStr">
        <is>
          <t>台北市信義區基隆路一段333號27樓</t>
        </is>
      </c>
      <c r="H53" s="12" t="inlineStr"/>
      <c r="I53" s="10" t="inlineStr">
        <is>
          <t>103/06/11</t>
        </is>
      </c>
      <c r="J53" s="11" t="inlineStr">
        <is>
          <t>全聯會一字第1030224</t>
        </is>
      </c>
      <c r="K53" s="10" t="inlineStr">
        <is>
          <t>北市</t>
        </is>
      </c>
      <c r="L53" s="10" t="inlineStr">
        <is>
          <t>103/07/01</t>
        </is>
      </c>
      <c r="M53" s="10" t="inlineStr">
        <is>
          <t>3713</t>
        </is>
      </c>
      <c r="N53" s="10" t="inlineStr">
        <is>
          <t>2026-06-05</t>
        </is>
      </c>
      <c r="O53" s="11" t="inlineStr">
        <is>
          <t>https://www.roccpa.org.tw/member_search/more?id=B918AF53-0BE5-4A0E-BF9D-74ADA285D2A8</t>
        </is>
      </c>
    </row>
    <row r="54">
      <c r="A54" s="10" t="n">
        <v>53</v>
      </c>
      <c r="B54" s="11" t="inlineStr">
        <is>
          <t>資誠聯合會計師事務所</t>
        </is>
      </c>
      <c r="C54" s="11" t="inlineStr">
        <is>
          <t>PwC 資誠</t>
        </is>
      </c>
      <c r="D54" s="11" t="inlineStr">
        <is>
          <t>洪麗雀</t>
        </is>
      </c>
      <c r="E54" s="10" t="inlineStr">
        <is>
          <t>台北總所</t>
        </is>
      </c>
      <c r="F54" s="12" t="inlineStr">
        <is>
          <t>台北市信義區基隆路一段333號27樓</t>
        </is>
      </c>
      <c r="G54" s="12" t="inlineStr">
        <is>
          <t>台北市信義區基隆路一段333號27樓</t>
        </is>
      </c>
      <c r="H54" s="12" t="inlineStr"/>
      <c r="I54" s="10" t="inlineStr">
        <is>
          <t>112/06/15</t>
        </is>
      </c>
      <c r="J54" s="11" t="inlineStr">
        <is>
          <t>全聯會一字第1120233</t>
        </is>
      </c>
      <c r="K54" s="10" t="inlineStr">
        <is>
          <t>北市</t>
        </is>
      </c>
      <c r="L54" s="10" t="inlineStr">
        <is>
          <t>112/06/15</t>
        </is>
      </c>
      <c r="M54" s="10" t="inlineStr">
        <is>
          <t>4536</t>
        </is>
      </c>
      <c r="N54" s="10" t="inlineStr">
        <is>
          <t>2026-06-05</t>
        </is>
      </c>
      <c r="O54" s="11" t="inlineStr">
        <is>
          <t>https://www.roccpa.org.tw/member_search/more?id=63940C32-66F0-4772-88F4-F3FC574872A5</t>
        </is>
      </c>
    </row>
    <row r="55">
      <c r="A55" s="10" t="n">
        <v>54</v>
      </c>
      <c r="B55" s="11" t="inlineStr">
        <is>
          <t>資誠聯合會計師事務所</t>
        </is>
      </c>
      <c r="C55" s="11" t="inlineStr">
        <is>
          <t>PwC 資誠</t>
        </is>
      </c>
      <c r="D55" s="11" t="inlineStr">
        <is>
          <t>涂展源</t>
        </is>
      </c>
      <c r="E55" s="10" t="inlineStr">
        <is>
          <t>台北總所</t>
        </is>
      </c>
      <c r="F55" s="12" t="inlineStr">
        <is>
          <t>台北市信義區基隆路一段333號27樓</t>
        </is>
      </c>
      <c r="G55" s="12" t="inlineStr">
        <is>
          <t>台北市信義區基隆路一段333號27樓</t>
        </is>
      </c>
      <c r="H55" s="12" t="inlineStr"/>
      <c r="I55" s="10" t="inlineStr">
        <is>
          <t>112/06/15</t>
        </is>
      </c>
      <c r="J55" s="11" t="inlineStr">
        <is>
          <t>全聯會一字第1120235</t>
        </is>
      </c>
      <c r="K55" s="10" t="inlineStr">
        <is>
          <t>北市</t>
        </is>
      </c>
      <c r="L55" s="10" t="inlineStr">
        <is>
          <t>112/06/15</t>
        </is>
      </c>
      <c r="M55" s="10" t="inlineStr">
        <is>
          <t>4538</t>
        </is>
      </c>
      <c r="N55" s="10" t="inlineStr">
        <is>
          <t>2026-06-05</t>
        </is>
      </c>
      <c r="O55" s="11" t="inlineStr">
        <is>
          <t>https://www.roccpa.org.tw/member_search/more?id=62A2FB57-959B-4B15-A720-72D24C95E4D4</t>
        </is>
      </c>
    </row>
    <row r="56">
      <c r="A56" s="10" t="n">
        <v>55</v>
      </c>
      <c r="B56" s="11" t="inlineStr">
        <is>
          <t>資誠聯合會計師事務所</t>
        </is>
      </c>
      <c r="C56" s="11" t="inlineStr">
        <is>
          <t>PwC 資誠</t>
        </is>
      </c>
      <c r="D56" s="11" t="inlineStr">
        <is>
          <t>潘慧玲</t>
        </is>
      </c>
      <c r="E56" s="10" t="inlineStr">
        <is>
          <t>台北總所</t>
        </is>
      </c>
      <c r="F56" s="12" t="inlineStr">
        <is>
          <t>台北市信義區基隆路一段333號27樓</t>
        </is>
      </c>
      <c r="G56" s="12" t="inlineStr">
        <is>
          <t>台北市信義區基隆路一段333號27樓</t>
        </is>
      </c>
      <c r="H56" s="12" t="inlineStr"/>
      <c r="I56" s="10" t="inlineStr"/>
      <c r="J56" s="11" t="inlineStr"/>
      <c r="K56" s="10" t="inlineStr">
        <is>
          <t>北市</t>
        </is>
      </c>
      <c r="L56" s="10" t="inlineStr">
        <is>
          <t>088/07/19</t>
        </is>
      </c>
      <c r="M56" s="10" t="inlineStr">
        <is>
          <t>2165</t>
        </is>
      </c>
      <c r="N56" s="10" t="inlineStr">
        <is>
          <t>2026-06-05</t>
        </is>
      </c>
      <c r="O56" s="11" t="inlineStr">
        <is>
          <t>https://www.roccpa.org.tw/member_search/more?id=66B6420C-2661-4196-83AB-F105073EF05B</t>
        </is>
      </c>
    </row>
    <row r="57">
      <c r="A57" s="10" t="n">
        <v>56</v>
      </c>
      <c r="B57" s="11" t="inlineStr">
        <is>
          <t>資誠聯合會計師事務所</t>
        </is>
      </c>
      <c r="C57" s="11" t="inlineStr">
        <is>
          <t>PwC 資誠</t>
        </is>
      </c>
      <c r="D57" s="11" t="inlineStr">
        <is>
          <t>王國華</t>
        </is>
      </c>
      <c r="E57" s="10" t="inlineStr">
        <is>
          <t>台北總所</t>
        </is>
      </c>
      <c r="F57" s="12" t="inlineStr">
        <is>
          <t>台北市信義區基隆路一段333號27樓</t>
        </is>
      </c>
      <c r="G57" s="12" t="inlineStr">
        <is>
          <t>台北市信義區基隆路一段333號27樓</t>
        </is>
      </c>
      <c r="H57" s="12" t="inlineStr"/>
      <c r="I57" s="10" t="inlineStr"/>
      <c r="J57" s="11" t="inlineStr"/>
      <c r="K57" s="10" t="inlineStr">
        <is>
          <t>高市</t>
        </is>
      </c>
      <c r="L57" s="10" t="inlineStr">
        <is>
          <t>087/06/29</t>
        </is>
      </c>
      <c r="M57" s="10" t="inlineStr">
        <is>
          <t>400</t>
        </is>
      </c>
      <c r="N57" s="10" t="inlineStr">
        <is>
          <t>2026-06-05</t>
        </is>
      </c>
      <c r="O57" s="11" t="inlineStr">
        <is>
          <t>https://www.roccpa.org.tw/member_search/more?id=82131B07-EF6A-4011-80F1-81AF9880BB23</t>
        </is>
      </c>
    </row>
    <row r="58">
      <c r="A58" s="10" t="n">
        <v>57</v>
      </c>
      <c r="B58" s="11" t="inlineStr">
        <is>
          <t>資誠聯合會計師事務所</t>
        </is>
      </c>
      <c r="C58" s="11" t="inlineStr">
        <is>
          <t>PwC 資誠</t>
        </is>
      </c>
      <c r="D58" s="11" t="inlineStr">
        <is>
          <t>王方瑜</t>
        </is>
      </c>
      <c r="E58" s="10" t="inlineStr">
        <is>
          <t>台北總所</t>
        </is>
      </c>
      <c r="F58" s="12" t="inlineStr">
        <is>
          <t>台北市信義區基隆路一段333號27樓</t>
        </is>
      </c>
      <c r="G58" s="12" t="inlineStr">
        <is>
          <t>台北市信義區基隆路一段333號27樓</t>
        </is>
      </c>
      <c r="H58" s="12" t="inlineStr"/>
      <c r="I58" s="10" t="inlineStr">
        <is>
          <t>103/06/11</t>
        </is>
      </c>
      <c r="J58" s="11" t="inlineStr">
        <is>
          <t>全聯會一字第1030225</t>
        </is>
      </c>
      <c r="K58" s="10" t="inlineStr">
        <is>
          <t>北市</t>
        </is>
      </c>
      <c r="L58" s="10" t="inlineStr">
        <is>
          <t>103/07/01</t>
        </is>
      </c>
      <c r="M58" s="10" t="inlineStr">
        <is>
          <t>3712</t>
        </is>
      </c>
      <c r="N58" s="10" t="inlineStr">
        <is>
          <t>2026-06-05</t>
        </is>
      </c>
      <c r="O58" s="11" t="inlineStr">
        <is>
          <t>https://www.roccpa.org.tw/member_search/more?id=0A548F5A-49CC-46B9-A40D-6731879D98A4</t>
        </is>
      </c>
    </row>
    <row r="59">
      <c r="A59" s="10" t="n">
        <v>58</v>
      </c>
      <c r="B59" s="11" t="inlineStr">
        <is>
          <t>資誠聯合會計師事務所</t>
        </is>
      </c>
      <c r="C59" s="11" t="inlineStr">
        <is>
          <t>PwC 資誠</t>
        </is>
      </c>
      <c r="D59" s="11" t="inlineStr">
        <is>
          <t>王昱欣</t>
        </is>
      </c>
      <c r="E59" s="10" t="inlineStr">
        <is>
          <t>台北總所</t>
        </is>
      </c>
      <c r="F59" s="12" t="inlineStr">
        <is>
          <t>台北市信義區基隆路一段333號27樓</t>
        </is>
      </c>
      <c r="G59" s="12" t="inlineStr">
        <is>
          <t>台北市信義區基隆路一段333號27樓</t>
        </is>
      </c>
      <c r="H59" s="12" t="inlineStr"/>
      <c r="I59" s="10" t="inlineStr">
        <is>
          <t>113/07/01</t>
        </is>
      </c>
      <c r="J59" s="11" t="inlineStr">
        <is>
          <t>全聯會一字第1130000309號</t>
        </is>
      </c>
      <c r="K59" s="10" t="inlineStr">
        <is>
          <t>北市</t>
        </is>
      </c>
      <c r="L59" s="10" t="inlineStr">
        <is>
          <t>113/07/01</t>
        </is>
      </c>
      <c r="M59" s="10" t="inlineStr">
        <is>
          <t>4652</t>
        </is>
      </c>
      <c r="N59" s="10" t="inlineStr">
        <is>
          <t>2026-06-05</t>
        </is>
      </c>
      <c r="O59" s="11" t="inlineStr">
        <is>
          <t>https://www.roccpa.org.tw/member_search/more?id=B5284EFE-A3CE-4ABD-9ED6-7E6791B4DA6A</t>
        </is>
      </c>
    </row>
    <row r="60">
      <c r="A60" s="10" t="n">
        <v>59</v>
      </c>
      <c r="B60" s="11" t="inlineStr">
        <is>
          <t>資誠聯合會計師事務所</t>
        </is>
      </c>
      <c r="C60" s="11" t="inlineStr">
        <is>
          <t>PwC 資誠</t>
        </is>
      </c>
      <c r="D60" s="11" t="inlineStr">
        <is>
          <t>王菘澤</t>
        </is>
      </c>
      <c r="E60" s="10" t="inlineStr">
        <is>
          <t>台北總所</t>
        </is>
      </c>
      <c r="F60" s="12" t="inlineStr">
        <is>
          <t>台北市信義區基隆路一段333號27樓</t>
        </is>
      </c>
      <c r="G60" s="12" t="inlineStr">
        <is>
          <t>台北市信義區基隆路一段333號27樓</t>
        </is>
      </c>
      <c r="H60" s="12" t="inlineStr"/>
      <c r="I60" s="10" t="inlineStr">
        <is>
          <t>111/07/01</t>
        </is>
      </c>
      <c r="J60" s="11" t="inlineStr">
        <is>
          <t>全聯會一字第1110254</t>
        </is>
      </c>
      <c r="K60" s="10" t="inlineStr">
        <is>
          <t>北市</t>
        </is>
      </c>
      <c r="L60" s="10" t="inlineStr">
        <is>
          <t>111/07/01</t>
        </is>
      </c>
      <c r="M60" s="10" t="inlineStr">
        <is>
          <t>4444</t>
        </is>
      </c>
      <c r="N60" s="10" t="inlineStr">
        <is>
          <t>2026-06-05</t>
        </is>
      </c>
      <c r="O60" s="11" t="inlineStr">
        <is>
          <t>https://www.roccpa.org.tw/member_search/more?id=70CB3729-7C47-442D-8846-1AD7DC1D76A1</t>
        </is>
      </c>
    </row>
    <row r="61">
      <c r="A61" s="10" t="n">
        <v>60</v>
      </c>
      <c r="B61" s="11" t="inlineStr">
        <is>
          <t>資誠聯合會計師事務所</t>
        </is>
      </c>
      <c r="C61" s="11" t="inlineStr">
        <is>
          <t>PwC 資誠</t>
        </is>
      </c>
      <c r="D61" s="11" t="inlineStr">
        <is>
          <t>王銘義</t>
        </is>
      </c>
      <c r="E61" s="10" t="inlineStr">
        <is>
          <t>台北總所</t>
        </is>
      </c>
      <c r="F61" s="12" t="inlineStr">
        <is>
          <t>台北市信義區基隆路一段333號27樓</t>
        </is>
      </c>
      <c r="G61" s="12" t="inlineStr">
        <is>
          <t>台北市信義區基隆路一段333號27樓</t>
        </is>
      </c>
      <c r="H61" s="12" t="inlineStr"/>
      <c r="I61" s="10" t="inlineStr">
        <is>
          <t>114/07/01</t>
        </is>
      </c>
      <c r="J61" s="11" t="inlineStr">
        <is>
          <t>全聯會一字第1140000269號</t>
        </is>
      </c>
      <c r="K61" s="10" t="inlineStr">
        <is>
          <t>北市</t>
        </is>
      </c>
      <c r="L61" s="10" t="inlineStr">
        <is>
          <t>114/07/01</t>
        </is>
      </c>
      <c r="M61" s="10" t="inlineStr">
        <is>
          <t>4738</t>
        </is>
      </c>
      <c r="N61" s="10" t="inlineStr">
        <is>
          <t>2026-06-05</t>
        </is>
      </c>
      <c r="O61" s="11" t="inlineStr">
        <is>
          <t>https://www.roccpa.org.tw/member_search/more?id=055AB5DB-6ACF-47E5-AE15-5D5BE68DB8C7</t>
        </is>
      </c>
    </row>
    <row r="62">
      <c r="A62" s="10" t="n">
        <v>61</v>
      </c>
      <c r="B62" s="11" t="inlineStr">
        <is>
          <t>資誠聯合會計師事務所</t>
        </is>
      </c>
      <c r="C62" s="11" t="inlineStr">
        <is>
          <t>PwC 資誠</t>
        </is>
      </c>
      <c r="D62" s="11" t="inlineStr">
        <is>
          <t>簡汎亞</t>
        </is>
      </c>
      <c r="E62" s="10" t="inlineStr">
        <is>
          <t>台北總所</t>
        </is>
      </c>
      <c r="F62" s="12" t="inlineStr">
        <is>
          <t>台北市信義區基隆路一段333號27樓</t>
        </is>
      </c>
      <c r="G62" s="12" t="inlineStr">
        <is>
          <t>台北市信義區基隆路一段333號27樓</t>
        </is>
      </c>
      <c r="H62" s="12" t="inlineStr"/>
      <c r="I62" s="10" t="inlineStr">
        <is>
          <t>107/06/01</t>
        </is>
      </c>
      <c r="J62" s="11" t="inlineStr">
        <is>
          <t>全聯會一字第1070228</t>
        </is>
      </c>
      <c r="K62" s="10" t="inlineStr">
        <is>
          <t>北市</t>
        </is>
      </c>
      <c r="L62" s="10" t="inlineStr">
        <is>
          <t>107/06/01</t>
        </is>
      </c>
      <c r="M62" s="10" t="inlineStr">
        <is>
          <t>4099</t>
        </is>
      </c>
      <c r="N62" s="10" t="inlineStr">
        <is>
          <t>2026-06-05</t>
        </is>
      </c>
      <c r="O62" s="11" t="inlineStr">
        <is>
          <t>https://www.roccpa.org.tw/member_search/more?id=27C68C61-0AC4-4842-A729-3D961A432B20</t>
        </is>
      </c>
    </row>
    <row r="63">
      <c r="A63" s="10" t="n">
        <v>62</v>
      </c>
      <c r="B63" s="11" t="inlineStr">
        <is>
          <t>資誠聯合會計師事務所</t>
        </is>
      </c>
      <c r="C63" s="11" t="inlineStr">
        <is>
          <t>PwC 資誠</t>
        </is>
      </c>
      <c r="D63" s="11" t="inlineStr">
        <is>
          <t>紀淑梅</t>
        </is>
      </c>
      <c r="E63" s="10" t="inlineStr">
        <is>
          <t>台北總所</t>
        </is>
      </c>
      <c r="F63" s="12" t="inlineStr">
        <is>
          <t>台北市信義區基隆路一段333號27樓</t>
        </is>
      </c>
      <c r="G63" s="12" t="inlineStr">
        <is>
          <t>台北市信義區基隆路一段333號27樓</t>
        </is>
      </c>
      <c r="H63" s="12" t="inlineStr"/>
      <c r="I63" s="10" t="inlineStr">
        <is>
          <t>104/02/17</t>
        </is>
      </c>
      <c r="J63" s="11" t="inlineStr">
        <is>
          <t>全聯會一字第1040081</t>
        </is>
      </c>
      <c r="K63" s="10" t="inlineStr">
        <is>
          <t>北市</t>
        </is>
      </c>
      <c r="L63" s="10" t="inlineStr">
        <is>
          <t>104/03/03</t>
        </is>
      </c>
      <c r="M63" s="10" t="inlineStr">
        <is>
          <t>3803</t>
        </is>
      </c>
      <c r="N63" s="10" t="inlineStr">
        <is>
          <t>2026-06-05</t>
        </is>
      </c>
      <c r="O63" s="11" t="inlineStr">
        <is>
          <t>https://www.roccpa.org.tw/member_search/more?id=BBC5A94F-9AC2-490C-B3A4-C5E9D8313A39</t>
        </is>
      </c>
    </row>
    <row r="64">
      <c r="A64" s="10" t="n">
        <v>63</v>
      </c>
      <c r="B64" s="11" t="inlineStr">
        <is>
          <t>資誠聯合會計師事務所</t>
        </is>
      </c>
      <c r="C64" s="11" t="inlineStr">
        <is>
          <t>PwC 資誠</t>
        </is>
      </c>
      <c r="D64" s="11" t="inlineStr">
        <is>
          <t>羅蕉森</t>
        </is>
      </c>
      <c r="E64" s="10" t="inlineStr">
        <is>
          <t>台北總所</t>
        </is>
      </c>
      <c r="F64" s="12" t="inlineStr">
        <is>
          <t>台北市信義區基隆路一段333號27樓</t>
        </is>
      </c>
      <c r="G64" s="12" t="inlineStr">
        <is>
          <t>台北市信義區基隆路一段333號27樓</t>
        </is>
      </c>
      <c r="H64" s="12" t="inlineStr"/>
      <c r="I64" s="10" t="inlineStr">
        <is>
          <t>107/06/01</t>
        </is>
      </c>
      <c r="J64" s="11" t="inlineStr">
        <is>
          <t>全聯會一字第1070226</t>
        </is>
      </c>
      <c r="K64" s="10" t="inlineStr">
        <is>
          <t>北市</t>
        </is>
      </c>
      <c r="L64" s="10" t="inlineStr">
        <is>
          <t>107/06/01</t>
        </is>
      </c>
      <c r="M64" s="10" t="inlineStr">
        <is>
          <t>4097</t>
        </is>
      </c>
      <c r="N64" s="10" t="inlineStr">
        <is>
          <t>2026-06-05</t>
        </is>
      </c>
      <c r="O64" s="11" t="inlineStr">
        <is>
          <t>https://www.roccpa.org.tw/member_search/more?id=6BF11A38-0870-4A3E-8F1B-20081141553E</t>
        </is>
      </c>
    </row>
    <row r="65">
      <c r="A65" s="10" t="n">
        <v>64</v>
      </c>
      <c r="B65" s="11" t="inlineStr">
        <is>
          <t>資誠聯合會計師事務所</t>
        </is>
      </c>
      <c r="C65" s="11" t="inlineStr">
        <is>
          <t>PwC 資誠</t>
        </is>
      </c>
      <c r="D65" s="11" t="inlineStr">
        <is>
          <t>胡友貞</t>
        </is>
      </c>
      <c r="E65" s="10" t="inlineStr">
        <is>
          <t>台北總所</t>
        </is>
      </c>
      <c r="F65" s="12" t="inlineStr">
        <is>
          <t>台北市信義區基隆路一段333號27樓</t>
        </is>
      </c>
      <c r="G65" s="12" t="inlineStr">
        <is>
          <t>台北市信義區基隆路一段333號27樓</t>
        </is>
      </c>
      <c r="H65" s="12" t="inlineStr"/>
      <c r="I65" s="10" t="inlineStr">
        <is>
          <t>110/06/15</t>
        </is>
      </c>
      <c r="J65" s="11" t="inlineStr">
        <is>
          <t>全聯會一字第1100243</t>
        </is>
      </c>
      <c r="K65" s="10" t="inlineStr">
        <is>
          <t>北市</t>
        </is>
      </c>
      <c r="L65" s="10" t="inlineStr">
        <is>
          <t>110/06/15</t>
        </is>
      </c>
      <c r="M65" s="10" t="inlineStr">
        <is>
          <t>4346</t>
        </is>
      </c>
      <c r="N65" s="10" t="inlineStr">
        <is>
          <t>2026-06-05</t>
        </is>
      </c>
      <c r="O65" s="11" t="inlineStr">
        <is>
          <t>https://www.roccpa.org.tw/member_search/more?id=F6466966-38A2-4608-BD9C-6AF2201BB7EB</t>
        </is>
      </c>
    </row>
    <row r="66">
      <c r="A66" s="10" t="n">
        <v>65</v>
      </c>
      <c r="B66" s="11" t="inlineStr">
        <is>
          <t>資誠聯合會計師事務所</t>
        </is>
      </c>
      <c r="C66" s="11" t="inlineStr">
        <is>
          <t>PwC 資誠</t>
        </is>
      </c>
      <c r="D66" s="11" t="inlineStr">
        <is>
          <t>胡智華</t>
        </is>
      </c>
      <c r="E66" s="10" t="inlineStr">
        <is>
          <t>台北總所</t>
        </is>
      </c>
      <c r="F66" s="12" t="inlineStr">
        <is>
          <t>台北市信義區基隆路一段333號27樓</t>
        </is>
      </c>
      <c r="G66" s="12" t="inlineStr">
        <is>
          <t>台北市信義區基隆路一段333號27樓</t>
        </is>
      </c>
      <c r="H66" s="12" t="inlineStr"/>
      <c r="I66" s="10" t="inlineStr">
        <is>
          <t>112/06/15</t>
        </is>
      </c>
      <c r="J66" s="11" t="inlineStr">
        <is>
          <t>全聯會一字第1120239</t>
        </is>
      </c>
      <c r="K66" s="10" t="inlineStr">
        <is>
          <t>北市</t>
        </is>
      </c>
      <c r="L66" s="10" t="inlineStr">
        <is>
          <t>112/06/15</t>
        </is>
      </c>
      <c r="M66" s="10" t="inlineStr">
        <is>
          <t>4542</t>
        </is>
      </c>
      <c r="N66" s="10" t="inlineStr">
        <is>
          <t>2026-06-05</t>
        </is>
      </c>
      <c r="O66" s="11" t="inlineStr">
        <is>
          <t>https://www.roccpa.org.tw/member_search/more?id=19C8960E-9C3F-481E-B4E9-F0FBC35E9B7C</t>
        </is>
      </c>
    </row>
    <row r="67">
      <c r="A67" s="10" t="n">
        <v>66</v>
      </c>
      <c r="B67" s="11" t="inlineStr">
        <is>
          <t>資誠聯合會計師事務所</t>
        </is>
      </c>
      <c r="C67" s="11" t="inlineStr">
        <is>
          <t>PwC 資誠</t>
        </is>
      </c>
      <c r="D67" s="11" t="inlineStr">
        <is>
          <t>范香琴</t>
        </is>
      </c>
      <c r="E67" s="10" t="inlineStr">
        <is>
          <t>台北總所</t>
        </is>
      </c>
      <c r="F67" s="12" t="inlineStr">
        <is>
          <t>台北市信義區基隆路一段333號27樓</t>
        </is>
      </c>
      <c r="G67" s="12" t="inlineStr">
        <is>
          <t>台北市信義區基隆路一段333號27樓</t>
        </is>
      </c>
      <c r="H67" s="12" t="inlineStr"/>
      <c r="I67" s="10" t="inlineStr">
        <is>
          <t>109/07/01</t>
        </is>
      </c>
      <c r="J67" s="11" t="inlineStr">
        <is>
          <t>全聯會一字第1090241</t>
        </is>
      </c>
      <c r="K67" s="10" t="inlineStr">
        <is>
          <t>北市</t>
        </is>
      </c>
      <c r="L67" s="10" t="inlineStr">
        <is>
          <t>109/07/01</t>
        </is>
      </c>
      <c r="M67" s="10" t="inlineStr">
        <is>
          <t>4264</t>
        </is>
      </c>
      <c r="N67" s="10" t="inlineStr">
        <is>
          <t>2026-06-05</t>
        </is>
      </c>
      <c r="O67" s="11" t="inlineStr">
        <is>
          <t>https://www.roccpa.org.tw/member_search/more?id=9F027515-642E-4F61-8F64-1CEBE41EE568</t>
        </is>
      </c>
    </row>
    <row r="68">
      <c r="A68" s="10" t="n">
        <v>67</v>
      </c>
      <c r="B68" s="11" t="inlineStr">
        <is>
          <t>資誠聯合會計師事務所</t>
        </is>
      </c>
      <c r="C68" s="11" t="inlineStr">
        <is>
          <t>PwC 資誠</t>
        </is>
      </c>
      <c r="D68" s="11" t="inlineStr">
        <is>
          <t>葉翠苗</t>
        </is>
      </c>
      <c r="E68" s="10" t="inlineStr">
        <is>
          <t>台北總所</t>
        </is>
      </c>
      <c r="F68" s="12" t="inlineStr">
        <is>
          <t>台北市信義區基隆路一段333號27樓</t>
        </is>
      </c>
      <c r="G68" s="12" t="inlineStr">
        <is>
          <t>台北市信義區基隆路一段333號27樓</t>
        </is>
      </c>
      <c r="H68" s="12" t="inlineStr"/>
      <c r="I68" s="10" t="inlineStr"/>
      <c r="J68" s="11" t="inlineStr"/>
      <c r="K68" s="10" t="inlineStr">
        <is>
          <t>北市</t>
        </is>
      </c>
      <c r="L68" s="10" t="inlineStr">
        <is>
          <t>095/12/01</t>
        </is>
      </c>
      <c r="M68" s="10" t="inlineStr">
        <is>
          <t>2890</t>
        </is>
      </c>
      <c r="N68" s="10" t="inlineStr">
        <is>
          <t>2026-06-05</t>
        </is>
      </c>
      <c r="O68" s="11" t="inlineStr">
        <is>
          <t>https://www.roccpa.org.tw/member_search/more?id=68232659-A889-4B55-8720-9B7681F47A65</t>
        </is>
      </c>
    </row>
    <row r="69">
      <c r="A69" s="10" t="n">
        <v>68</v>
      </c>
      <c r="B69" s="11" t="inlineStr">
        <is>
          <t>資誠聯合會計師事務所</t>
        </is>
      </c>
      <c r="C69" s="11" t="inlineStr">
        <is>
          <t>PwC 資誠</t>
        </is>
      </c>
      <c r="D69" s="11" t="inlineStr">
        <is>
          <t>蔡亦臺</t>
        </is>
      </c>
      <c r="E69" s="10" t="inlineStr">
        <is>
          <t>台北總所</t>
        </is>
      </c>
      <c r="F69" s="12" t="inlineStr">
        <is>
          <t>台北市信義區基隆路一段333號27樓</t>
        </is>
      </c>
      <c r="G69" s="12" t="inlineStr">
        <is>
          <t>台北市信義區基隆路一段333號27樓</t>
        </is>
      </c>
      <c r="H69" s="12" t="inlineStr"/>
      <c r="I69" s="10" t="inlineStr">
        <is>
          <t>108/07/01</t>
        </is>
      </c>
      <c r="J69" s="11" t="inlineStr">
        <is>
          <t>全聯會一字第1080239</t>
        </is>
      </c>
      <c r="K69" s="10" t="inlineStr">
        <is>
          <t>北市</t>
        </is>
      </c>
      <c r="L69" s="10" t="inlineStr">
        <is>
          <t>108/07/01</t>
        </is>
      </c>
      <c r="M69" s="10" t="inlineStr">
        <is>
          <t>4177</t>
        </is>
      </c>
      <c r="N69" s="10" t="inlineStr">
        <is>
          <t>2026-06-05</t>
        </is>
      </c>
      <c r="O69" s="11" t="inlineStr">
        <is>
          <t>https://www.roccpa.org.tw/member_search/more?id=66C64700-F50B-44D8-B9CA-B17CA9037DF9</t>
        </is>
      </c>
    </row>
    <row r="70">
      <c r="A70" s="10" t="n">
        <v>69</v>
      </c>
      <c r="B70" s="11" t="inlineStr">
        <is>
          <t>資誠聯合會計師事務所</t>
        </is>
      </c>
      <c r="C70" s="11" t="inlineStr">
        <is>
          <t>PwC 資誠</t>
        </is>
      </c>
      <c r="D70" s="11" t="inlineStr">
        <is>
          <t>蔡怡歆</t>
        </is>
      </c>
      <c r="E70" s="10" t="inlineStr">
        <is>
          <t>台北總所</t>
        </is>
      </c>
      <c r="F70" s="12" t="inlineStr">
        <is>
          <t>台北市信義區基隆路一段333號27樓</t>
        </is>
      </c>
      <c r="G70" s="12" t="inlineStr">
        <is>
          <t>台北市信義區基隆路一段333號27樓</t>
        </is>
      </c>
      <c r="H70" s="12" t="inlineStr"/>
      <c r="I70" s="10" t="inlineStr">
        <is>
          <t>113/04/01</t>
        </is>
      </c>
      <c r="J70" s="11" t="inlineStr">
        <is>
          <t>全聯會一字第1130000167號</t>
        </is>
      </c>
      <c r="K70" s="10" t="inlineStr">
        <is>
          <t>北市</t>
        </is>
      </c>
      <c r="L70" s="10" t="inlineStr">
        <is>
          <t>113/04/01</t>
        </is>
      </c>
      <c r="M70" s="10" t="inlineStr">
        <is>
          <t>4614</t>
        </is>
      </c>
      <c r="N70" s="10" t="inlineStr">
        <is>
          <t>2026-06-05</t>
        </is>
      </c>
      <c r="O70" s="11" t="inlineStr">
        <is>
          <t>https://www.roccpa.org.tw/member_search/more?id=A50B5EB0-CB1A-4E8F-B49B-BAB2B45DA299</t>
        </is>
      </c>
    </row>
    <row r="71">
      <c r="A71" s="10" t="n">
        <v>70</v>
      </c>
      <c r="B71" s="11" t="inlineStr">
        <is>
          <t>資誠聯合會計師事務所</t>
        </is>
      </c>
      <c r="C71" s="11" t="inlineStr">
        <is>
          <t>PwC 資誠</t>
        </is>
      </c>
      <c r="D71" s="11" t="inlineStr">
        <is>
          <t>蔡晏潭</t>
        </is>
      </c>
      <c r="E71" s="10" t="inlineStr">
        <is>
          <t>台北總所</t>
        </is>
      </c>
      <c r="F71" s="12" t="inlineStr">
        <is>
          <t>台北市信義區基隆路一段333號27樓</t>
        </is>
      </c>
      <c r="G71" s="12" t="inlineStr">
        <is>
          <t>台北市信義區基隆路一段333號27樓</t>
        </is>
      </c>
      <c r="H71" s="12" t="inlineStr"/>
      <c r="I71" s="10" t="inlineStr">
        <is>
          <t>108/07/01</t>
        </is>
      </c>
      <c r="J71" s="11" t="inlineStr">
        <is>
          <t>全聯會一字第1080240</t>
        </is>
      </c>
      <c r="K71" s="10" t="inlineStr">
        <is>
          <t>北市</t>
        </is>
      </c>
      <c r="L71" s="10" t="inlineStr">
        <is>
          <t>108/07/01</t>
        </is>
      </c>
      <c r="M71" s="10" t="inlineStr">
        <is>
          <t>4178</t>
        </is>
      </c>
      <c r="N71" s="10" t="inlineStr">
        <is>
          <t>2026-06-05</t>
        </is>
      </c>
      <c r="O71" s="11" t="inlineStr">
        <is>
          <t>https://www.roccpa.org.tw/member_search/more?id=F6230226-2206-41A9-BB4F-BCC396865CB8</t>
        </is>
      </c>
    </row>
    <row r="72">
      <c r="A72" s="10" t="n">
        <v>71</v>
      </c>
      <c r="B72" s="11" t="inlineStr">
        <is>
          <t>資誠聯合會計師事務所</t>
        </is>
      </c>
      <c r="C72" s="11" t="inlineStr">
        <is>
          <t>PwC 資誠</t>
        </is>
      </c>
      <c r="D72" s="11" t="inlineStr">
        <is>
          <t>蔡蓓華</t>
        </is>
      </c>
      <c r="E72" s="10" t="inlineStr">
        <is>
          <t>台北總所</t>
        </is>
      </c>
      <c r="F72" s="12" t="inlineStr">
        <is>
          <t>台北市信義區基隆路一段333號27樓</t>
        </is>
      </c>
      <c r="G72" s="12" t="inlineStr">
        <is>
          <t>台北市信義區基隆路一段333號27樓</t>
        </is>
      </c>
      <c r="H72" s="12" t="inlineStr"/>
      <c r="I72" s="10" t="inlineStr">
        <is>
          <t>113/07/01</t>
        </is>
      </c>
      <c r="J72" s="11" t="inlineStr">
        <is>
          <t>全聯會一字第1130000306號</t>
        </is>
      </c>
      <c r="K72" s="10" t="inlineStr">
        <is>
          <t>北市</t>
        </is>
      </c>
      <c r="L72" s="10" t="inlineStr">
        <is>
          <t>113/07/01</t>
        </is>
      </c>
      <c r="M72" s="10" t="inlineStr">
        <is>
          <t>4649</t>
        </is>
      </c>
      <c r="N72" s="10" t="inlineStr">
        <is>
          <t>2026-06-05</t>
        </is>
      </c>
      <c r="O72" s="11" t="inlineStr">
        <is>
          <t>https://www.roccpa.org.tw/member_search/more?id=A6F0A159-4DC8-4683-8220-9B88EA6AAAE8</t>
        </is>
      </c>
    </row>
    <row r="73">
      <c r="A73" s="10" t="n">
        <v>72</v>
      </c>
      <c r="B73" s="11" t="inlineStr">
        <is>
          <t>資誠聯合會計師事務所</t>
        </is>
      </c>
      <c r="C73" s="11" t="inlineStr">
        <is>
          <t>PwC 資誠</t>
        </is>
      </c>
      <c r="D73" s="11" t="inlineStr">
        <is>
          <t>蕭春鴛</t>
        </is>
      </c>
      <c r="E73" s="10" t="inlineStr">
        <is>
          <t>台北總所</t>
        </is>
      </c>
      <c r="F73" s="12" t="inlineStr">
        <is>
          <t>台北市信義區基隆路一段333號27樓</t>
        </is>
      </c>
      <c r="G73" s="12" t="inlineStr">
        <is>
          <t>台北市信義區基隆路一段333號27樓</t>
        </is>
      </c>
      <c r="H73" s="12" t="inlineStr"/>
      <c r="I73" s="10" t="inlineStr"/>
      <c r="J73" s="11" t="inlineStr"/>
      <c r="K73" s="10" t="inlineStr">
        <is>
          <t>北市</t>
        </is>
      </c>
      <c r="L73" s="10" t="inlineStr">
        <is>
          <t>096/05/23</t>
        </is>
      </c>
      <c r="M73" s="10" t="inlineStr">
        <is>
          <t>2942</t>
        </is>
      </c>
      <c r="N73" s="10" t="inlineStr">
        <is>
          <t>2026-06-05</t>
        </is>
      </c>
      <c r="O73" s="11" t="inlineStr">
        <is>
          <t>https://www.roccpa.org.tw/member_search/more?id=0FF47265-043C-4546-B163-1A10FFA9C69A</t>
        </is>
      </c>
    </row>
    <row r="74">
      <c r="A74" s="10" t="n">
        <v>73</v>
      </c>
      <c r="B74" s="11" t="inlineStr">
        <is>
          <t>資誠聯合會計師事務所</t>
        </is>
      </c>
      <c r="C74" s="11" t="inlineStr">
        <is>
          <t>PwC 資誠</t>
        </is>
      </c>
      <c r="D74" s="11" t="inlineStr">
        <is>
          <t>許祺昌</t>
        </is>
      </c>
      <c r="E74" s="10" t="inlineStr">
        <is>
          <t>台北總所</t>
        </is>
      </c>
      <c r="F74" s="12" t="inlineStr">
        <is>
          <t>台北市信義區基隆路一段333號27樓</t>
        </is>
      </c>
      <c r="G74" s="12" t="inlineStr">
        <is>
          <t>台北市信義區基隆路一段333號27樓</t>
        </is>
      </c>
      <c r="H74" s="12" t="inlineStr"/>
      <c r="I74" s="10" t="inlineStr"/>
      <c r="J74" s="11" t="inlineStr"/>
      <c r="K74" s="10" t="inlineStr">
        <is>
          <t>北市</t>
        </is>
      </c>
      <c r="L74" s="10" t="inlineStr">
        <is>
          <t>089/03/13</t>
        </is>
      </c>
      <c r="M74" s="10" t="inlineStr">
        <is>
          <t>2257</t>
        </is>
      </c>
      <c r="N74" s="10" t="inlineStr">
        <is>
          <t>2026-06-05</t>
        </is>
      </c>
      <c r="O74" s="11" t="inlineStr">
        <is>
          <t>https://www.roccpa.org.tw/member_search/more?id=17D29B96-EE8E-4B71-BB37-DA2A1CEBC367</t>
        </is>
      </c>
    </row>
    <row r="75">
      <c r="A75" s="10" t="n">
        <v>74</v>
      </c>
      <c r="B75" s="11" t="inlineStr">
        <is>
          <t>資誠聯合會計師事務所</t>
        </is>
      </c>
      <c r="C75" s="11" t="inlineStr">
        <is>
          <t>PwC 資誠</t>
        </is>
      </c>
      <c r="D75" s="11" t="inlineStr">
        <is>
          <t>謝智政</t>
        </is>
      </c>
      <c r="E75" s="10" t="inlineStr">
        <is>
          <t>台北總所</t>
        </is>
      </c>
      <c r="F75" s="12" t="inlineStr">
        <is>
          <t>台北市信義區基隆路一段333號27樓</t>
        </is>
      </c>
      <c r="G75" s="12" t="inlineStr">
        <is>
          <t>台北市信義區基隆路一段333號27樓</t>
        </is>
      </c>
      <c r="H75" s="12" t="inlineStr"/>
      <c r="I75" s="10" t="inlineStr">
        <is>
          <t>099/07/09</t>
        </is>
      </c>
      <c r="J75" s="11" t="inlineStr">
        <is>
          <t>全聯會一字第09900323</t>
        </is>
      </c>
      <c r="K75" s="10" t="inlineStr">
        <is>
          <t>北市</t>
        </is>
      </c>
      <c r="L75" s="10" t="inlineStr">
        <is>
          <t>099/07/19</t>
        </is>
      </c>
      <c r="M75" s="10" t="inlineStr">
        <is>
          <t>3246</t>
        </is>
      </c>
      <c r="N75" s="10" t="inlineStr">
        <is>
          <t>2026-06-05</t>
        </is>
      </c>
      <c r="O75" s="11" t="inlineStr">
        <is>
          <t>https://www.roccpa.org.tw/member_search/more?id=BB4BCAA1-8364-415D-B0DC-B47940977654</t>
        </is>
      </c>
    </row>
    <row r="76">
      <c r="A76" s="10" t="n">
        <v>75</v>
      </c>
      <c r="B76" s="11" t="inlineStr">
        <is>
          <t>資誠聯合會計師事務所</t>
        </is>
      </c>
      <c r="C76" s="11" t="inlineStr">
        <is>
          <t>PwC 資誠</t>
        </is>
      </c>
      <c r="D76" s="11" t="inlineStr">
        <is>
          <t>謝淑美</t>
        </is>
      </c>
      <c r="E76" s="10" t="inlineStr">
        <is>
          <t>台北總所</t>
        </is>
      </c>
      <c r="F76" s="12" t="inlineStr">
        <is>
          <t>台北市信義區基隆路一段333號27樓</t>
        </is>
      </c>
      <c r="G76" s="12" t="inlineStr">
        <is>
          <t>台北市信義區基隆路一段333號27樓</t>
        </is>
      </c>
      <c r="H76" s="12" t="inlineStr"/>
      <c r="I76" s="10" t="inlineStr">
        <is>
          <t>097/10/30</t>
        </is>
      </c>
      <c r="J76" s="11" t="inlineStr">
        <is>
          <t>全聯會一字第09700110</t>
        </is>
      </c>
      <c r="K76" s="10" t="inlineStr">
        <is>
          <t>北市</t>
        </is>
      </c>
      <c r="L76" s="10" t="inlineStr">
        <is>
          <t>097/09/12</t>
        </is>
      </c>
      <c r="M76" s="10" t="inlineStr">
        <is>
          <t>3034</t>
        </is>
      </c>
      <c r="N76" s="10" t="inlineStr">
        <is>
          <t>2026-06-05</t>
        </is>
      </c>
      <c r="O76" s="11" t="inlineStr">
        <is>
          <t>https://www.roccpa.org.tw/member_search/more?id=4C180D06-7BDD-4F5D-A88C-A89C43495B43</t>
        </is>
      </c>
    </row>
    <row r="77">
      <c r="A77" s="10" t="n">
        <v>76</v>
      </c>
      <c r="B77" s="11" t="inlineStr">
        <is>
          <t>資誠聯合會計師事務所</t>
        </is>
      </c>
      <c r="C77" s="11" t="inlineStr">
        <is>
          <t>PwC 資誠</t>
        </is>
      </c>
      <c r="D77" s="11" t="inlineStr">
        <is>
          <t>謝瑋莉</t>
        </is>
      </c>
      <c r="E77" s="10" t="inlineStr">
        <is>
          <t>台北總所</t>
        </is>
      </c>
      <c r="F77" s="12" t="inlineStr">
        <is>
          <t>台北市信義區基隆路一段333號27樓</t>
        </is>
      </c>
      <c r="G77" s="12" t="inlineStr">
        <is>
          <t>台北市信義區基隆路一段333號27樓</t>
        </is>
      </c>
      <c r="H77" s="12" t="inlineStr"/>
      <c r="I77" s="10" t="inlineStr">
        <is>
          <t>114/07/01</t>
        </is>
      </c>
      <c r="J77" s="11" t="inlineStr">
        <is>
          <t>全聯會一字第1140000270號</t>
        </is>
      </c>
      <c r="K77" s="10" t="inlineStr">
        <is>
          <t>北市</t>
        </is>
      </c>
      <c r="L77" s="10" t="inlineStr">
        <is>
          <t>114/07/01</t>
        </is>
      </c>
      <c r="M77" s="10" t="inlineStr">
        <is>
          <t>4739</t>
        </is>
      </c>
      <c r="N77" s="10" t="inlineStr">
        <is>
          <t>2026-06-05</t>
        </is>
      </c>
      <c r="O77" s="11" t="inlineStr">
        <is>
          <t>https://www.roccpa.org.tw/member_search/more?id=9E9E1E7E-49B3-4B5C-A5E9-CC9C51D96245</t>
        </is>
      </c>
    </row>
    <row r="78">
      <c r="A78" s="10" t="n">
        <v>77</v>
      </c>
      <c r="B78" s="11" t="inlineStr">
        <is>
          <t>資誠聯合會計師事務所</t>
        </is>
      </c>
      <c r="C78" s="11" t="inlineStr">
        <is>
          <t>PwC 資誠</t>
        </is>
      </c>
      <c r="D78" s="11" t="inlineStr">
        <is>
          <t>賴宗羲</t>
        </is>
      </c>
      <c r="E78" s="10" t="inlineStr">
        <is>
          <t>台北總所</t>
        </is>
      </c>
      <c r="F78" s="12" t="inlineStr">
        <is>
          <t>台北市信義區基隆路一段333號27樓</t>
        </is>
      </c>
      <c r="G78" s="12" t="inlineStr">
        <is>
          <t>台北市信義區基隆路一段333號27樓</t>
        </is>
      </c>
      <c r="H78" s="12" t="inlineStr"/>
      <c r="I78" s="10" t="inlineStr"/>
      <c r="J78" s="11" t="inlineStr"/>
      <c r="K78" s="10" t="inlineStr">
        <is>
          <t>北市</t>
        </is>
      </c>
      <c r="L78" s="10" t="inlineStr">
        <is>
          <t>085/12/27</t>
        </is>
      </c>
      <c r="M78" s="10" t="inlineStr">
        <is>
          <t>1886</t>
        </is>
      </c>
      <c r="N78" s="10" t="inlineStr">
        <is>
          <t>2026-06-05</t>
        </is>
      </c>
      <c r="O78" s="11" t="inlineStr">
        <is>
          <t>https://www.roccpa.org.tw/member_search/more?id=A62019E1-CDE7-432E-9940-38FCEB13FABA</t>
        </is>
      </c>
    </row>
    <row r="79">
      <c r="A79" s="10" t="n">
        <v>78</v>
      </c>
      <c r="B79" s="11" t="inlineStr">
        <is>
          <t>資誠聯合會計師事務所</t>
        </is>
      </c>
      <c r="C79" s="11" t="inlineStr">
        <is>
          <t>PwC 資誠</t>
        </is>
      </c>
      <c r="D79" s="11" t="inlineStr">
        <is>
          <t>趙永潔</t>
        </is>
      </c>
      <c r="E79" s="10" t="inlineStr">
        <is>
          <t>台北總所</t>
        </is>
      </c>
      <c r="F79" s="12" t="inlineStr">
        <is>
          <t>台北市信義區基隆路一段333號27樓</t>
        </is>
      </c>
      <c r="G79" s="12" t="inlineStr">
        <is>
          <t>台北市信義區基隆路一段333號27樓</t>
        </is>
      </c>
      <c r="H79" s="12" t="inlineStr"/>
      <c r="I79" s="10" t="inlineStr">
        <is>
          <t>111/07/01</t>
        </is>
      </c>
      <c r="J79" s="11" t="inlineStr">
        <is>
          <t>全聯會一字第1110255</t>
        </is>
      </c>
      <c r="K79" s="10" t="inlineStr">
        <is>
          <t>北市</t>
        </is>
      </c>
      <c r="L79" s="10" t="inlineStr">
        <is>
          <t>111/07/01</t>
        </is>
      </c>
      <c r="M79" s="10" t="inlineStr">
        <is>
          <t>4445</t>
        </is>
      </c>
      <c r="N79" s="10" t="inlineStr">
        <is>
          <t>2026-06-05</t>
        </is>
      </c>
      <c r="O79" s="11" t="inlineStr">
        <is>
          <t>https://www.roccpa.org.tw/member_search/more?id=52EAFB03-CEB5-40A1-91CF-45A7D6EB1CCF</t>
        </is>
      </c>
    </row>
    <row r="80">
      <c r="A80" s="10" t="n">
        <v>79</v>
      </c>
      <c r="B80" s="11" t="inlineStr">
        <is>
          <t>資誠聯合會計師事務所</t>
        </is>
      </c>
      <c r="C80" s="11" t="inlineStr">
        <is>
          <t>PwC 資誠</t>
        </is>
      </c>
      <c r="D80" s="11" t="inlineStr">
        <is>
          <t>邱奕銜</t>
        </is>
      </c>
      <c r="E80" s="10" t="inlineStr">
        <is>
          <t>台北總所</t>
        </is>
      </c>
      <c r="F80" s="12" t="inlineStr">
        <is>
          <t>台北市信義區基隆路一段333號27樓</t>
        </is>
      </c>
      <c r="G80" s="12" t="inlineStr">
        <is>
          <t>台北市信義區基隆路一段333號27樓</t>
        </is>
      </c>
      <c r="H80" s="12" t="inlineStr"/>
      <c r="I80" s="10" t="inlineStr">
        <is>
          <t>114/07/01</t>
        </is>
      </c>
      <c r="J80" s="11" t="inlineStr">
        <is>
          <t>全聯會一字第1140000271號</t>
        </is>
      </c>
      <c r="K80" s="10" t="inlineStr">
        <is>
          <t>北市</t>
        </is>
      </c>
      <c r="L80" s="10" t="inlineStr">
        <is>
          <t>114/07/01</t>
        </is>
      </c>
      <c r="M80" s="10" t="inlineStr">
        <is>
          <t>4740</t>
        </is>
      </c>
      <c r="N80" s="10" t="inlineStr">
        <is>
          <t>2026-06-05</t>
        </is>
      </c>
      <c r="O80" s="11" t="inlineStr">
        <is>
          <t>https://www.roccpa.org.tw/member_search/more?id=E4337AF5-B9F3-42CF-B166-F55AEA8F21B3</t>
        </is>
      </c>
    </row>
    <row r="81">
      <c r="A81" s="10" t="n">
        <v>80</v>
      </c>
      <c r="B81" s="11" t="inlineStr">
        <is>
          <t>資誠聯合會計師事務所</t>
        </is>
      </c>
      <c r="C81" s="11" t="inlineStr">
        <is>
          <t>PwC 資誠</t>
        </is>
      </c>
      <c r="D81" s="11" t="inlineStr">
        <is>
          <t>邱昭賢</t>
        </is>
      </c>
      <c r="E81" s="10" t="inlineStr">
        <is>
          <t>台北總所</t>
        </is>
      </c>
      <c r="F81" s="12" t="inlineStr">
        <is>
          <t>台北市信義區基隆路一段333號27樓</t>
        </is>
      </c>
      <c r="G81" s="12" t="inlineStr">
        <is>
          <t>台北市信義區基隆路一段333號27樓</t>
        </is>
      </c>
      <c r="H81" s="12" t="inlineStr"/>
      <c r="I81" s="10" t="inlineStr">
        <is>
          <t>101/06/27</t>
        </is>
      </c>
      <c r="J81" s="11" t="inlineStr">
        <is>
          <t>全聯會一字第1010195</t>
        </is>
      </c>
      <c r="K81" s="10" t="inlineStr">
        <is>
          <t>北市</t>
        </is>
      </c>
      <c r="L81" s="10" t="inlineStr">
        <is>
          <t>101/07/06</t>
        </is>
      </c>
      <c r="M81" s="10" t="inlineStr">
        <is>
          <t>3476</t>
        </is>
      </c>
      <c r="N81" s="10" t="inlineStr">
        <is>
          <t>2026-06-05</t>
        </is>
      </c>
      <c r="O81" s="11" t="inlineStr">
        <is>
          <t>https://www.roccpa.org.tw/member_search/more?id=C5EBBAE3-BA88-45A3-B7A0-0F3821DAD789</t>
        </is>
      </c>
    </row>
    <row r="82">
      <c r="A82" s="10" t="n">
        <v>81</v>
      </c>
      <c r="B82" s="11" t="inlineStr">
        <is>
          <t>資誠聯合會計師事務所</t>
        </is>
      </c>
      <c r="C82" s="11" t="inlineStr">
        <is>
          <t>PwC 資誠</t>
        </is>
      </c>
      <c r="D82" s="11" t="inlineStr">
        <is>
          <t>郭加龍</t>
        </is>
      </c>
      <c r="E82" s="10" t="inlineStr">
        <is>
          <t>台北總所</t>
        </is>
      </c>
      <c r="F82" s="12" t="inlineStr">
        <is>
          <t>台北市信義區基隆路一段333號27樓</t>
        </is>
      </c>
      <c r="G82" s="12" t="inlineStr">
        <is>
          <t>台北市信義區基隆路一段333號27樓</t>
        </is>
      </c>
      <c r="H82" s="12" t="inlineStr"/>
      <c r="I82" s="10" t="inlineStr">
        <is>
          <t>111/07/01</t>
        </is>
      </c>
      <c r="J82" s="11" t="inlineStr">
        <is>
          <t>全聯會一字第1110257</t>
        </is>
      </c>
      <c r="K82" s="10" t="inlineStr">
        <is>
          <t>北市</t>
        </is>
      </c>
      <c r="L82" s="10" t="inlineStr">
        <is>
          <t>111/07/01</t>
        </is>
      </c>
      <c r="M82" s="10" t="inlineStr">
        <is>
          <t>4447</t>
        </is>
      </c>
      <c r="N82" s="10" t="inlineStr">
        <is>
          <t>2026-06-05</t>
        </is>
      </c>
      <c r="O82" s="11" t="inlineStr">
        <is>
          <t>https://www.roccpa.org.tw/member_search/more?id=77C25E26-5F0C-49A7-862F-616821D670B5</t>
        </is>
      </c>
    </row>
    <row r="83">
      <c r="A83" s="10" t="n">
        <v>82</v>
      </c>
      <c r="B83" s="11" t="inlineStr">
        <is>
          <t>資誠聯合會計師事務所</t>
        </is>
      </c>
      <c r="C83" s="11" t="inlineStr">
        <is>
          <t>PwC 資誠</t>
        </is>
      </c>
      <c r="D83" s="11" t="inlineStr">
        <is>
          <t>郭柏如</t>
        </is>
      </c>
      <c r="E83" s="10" t="inlineStr">
        <is>
          <t>台北總所</t>
        </is>
      </c>
      <c r="F83" s="12" t="inlineStr">
        <is>
          <t>台北市信義區基隆路一段333號27樓</t>
        </is>
      </c>
      <c r="G83" s="12" t="inlineStr">
        <is>
          <t>台北市信義區基隆路一段333號27樓</t>
        </is>
      </c>
      <c r="H83" s="12" t="inlineStr"/>
      <c r="I83" s="10" t="inlineStr">
        <is>
          <t>100/07/01</t>
        </is>
      </c>
      <c r="J83" s="11" t="inlineStr">
        <is>
          <t>全聯會一字第1000259</t>
        </is>
      </c>
      <c r="K83" s="10" t="inlineStr">
        <is>
          <t>北市</t>
        </is>
      </c>
      <c r="L83" s="10" t="inlineStr">
        <is>
          <t>100/07/06</t>
        </is>
      </c>
      <c r="M83" s="10" t="inlineStr">
        <is>
          <t>3368</t>
        </is>
      </c>
      <c r="N83" s="10" t="inlineStr">
        <is>
          <t>2026-06-05</t>
        </is>
      </c>
      <c r="O83" s="11" t="inlineStr">
        <is>
          <t>https://www.roccpa.org.tw/member_search/more?id=C690DDCB-3175-433C-95DE-95607AC982EC</t>
        </is>
      </c>
    </row>
    <row r="84">
      <c r="A84" s="10" t="n">
        <v>83</v>
      </c>
      <c r="B84" s="11" t="inlineStr">
        <is>
          <t>資誠聯合會計師事務所</t>
        </is>
      </c>
      <c r="C84" s="11" t="inlineStr">
        <is>
          <t>PwC 資誠</t>
        </is>
      </c>
      <c r="D84" s="11" t="inlineStr">
        <is>
          <t>鄧聖偉</t>
        </is>
      </c>
      <c r="E84" s="10" t="inlineStr">
        <is>
          <t>台北總所</t>
        </is>
      </c>
      <c r="F84" s="12" t="inlineStr">
        <is>
          <t>台北市信義區基隆路一段333號27樓</t>
        </is>
      </c>
      <c r="G84" s="12" t="inlineStr">
        <is>
          <t>台北市信義區基隆路一段333號27樓</t>
        </is>
      </c>
      <c r="H84" s="12" t="inlineStr"/>
      <c r="I84" s="10" t="inlineStr">
        <is>
          <t>102/03/25</t>
        </is>
      </c>
      <c r="J84" s="11" t="inlineStr">
        <is>
          <t>全聯會一字第1020141</t>
        </is>
      </c>
      <c r="K84" s="10" t="inlineStr">
        <is>
          <t>北市</t>
        </is>
      </c>
      <c r="L84" s="10" t="inlineStr">
        <is>
          <t>102/04/01</t>
        </is>
      </c>
      <c r="M84" s="10" t="inlineStr">
        <is>
          <t>3561</t>
        </is>
      </c>
      <c r="N84" s="10" t="inlineStr">
        <is>
          <t>2026-06-05</t>
        </is>
      </c>
      <c r="O84" s="11" t="inlineStr">
        <is>
          <t>https://www.roccpa.org.tw/member_search/more?id=E242FFD1-DB68-4FD2-88C6-649814B9ED28</t>
        </is>
      </c>
    </row>
    <row r="85">
      <c r="A85" s="10" t="n">
        <v>84</v>
      </c>
      <c r="B85" s="11" t="inlineStr">
        <is>
          <t>資誠聯合會計師事務所</t>
        </is>
      </c>
      <c r="C85" s="11" t="inlineStr">
        <is>
          <t>PwC 資誠</t>
        </is>
      </c>
      <c r="D85" s="11" t="inlineStr">
        <is>
          <t>鄭裕仁</t>
        </is>
      </c>
      <c r="E85" s="10" t="inlineStr">
        <is>
          <t>台北總所</t>
        </is>
      </c>
      <c r="F85" s="12" t="inlineStr">
        <is>
          <t>台北市信義區基隆路一段333號27樓</t>
        </is>
      </c>
      <c r="G85" s="12" t="inlineStr">
        <is>
          <t>台北市信義區基隆路一段333號27樓</t>
        </is>
      </c>
      <c r="H85" s="12" t="inlineStr"/>
      <c r="I85" s="10" t="inlineStr">
        <is>
          <t>113/07/01</t>
        </is>
      </c>
      <c r="J85" s="11" t="inlineStr">
        <is>
          <t>全聯會一字第1130000307號</t>
        </is>
      </c>
      <c r="K85" s="10" t="inlineStr">
        <is>
          <t>北市</t>
        </is>
      </c>
      <c r="L85" s="10" t="inlineStr">
        <is>
          <t>113/07/01</t>
        </is>
      </c>
      <c r="M85" s="10" t="inlineStr">
        <is>
          <t>4650</t>
        </is>
      </c>
      <c r="N85" s="10" t="inlineStr">
        <is>
          <t>2026-06-05</t>
        </is>
      </c>
      <c r="O85" s="11" t="inlineStr">
        <is>
          <t>https://www.roccpa.org.tw/member_search/more?id=9823DBBA-6DF3-48F0-8954-D2DED867BADD</t>
        </is>
      </c>
    </row>
    <row r="86">
      <c r="A86" s="10" t="n">
        <v>85</v>
      </c>
      <c r="B86" s="11" t="inlineStr">
        <is>
          <t>資誠聯合會計師事務所</t>
        </is>
      </c>
      <c r="C86" s="11" t="inlineStr">
        <is>
          <t>PwC 資誠</t>
        </is>
      </c>
      <c r="D86" s="11" t="inlineStr">
        <is>
          <t>鍾佳縈</t>
        </is>
      </c>
      <c r="E86" s="10" t="inlineStr">
        <is>
          <t>台北總所</t>
        </is>
      </c>
      <c r="F86" s="12" t="inlineStr">
        <is>
          <t>台北市信義區基隆路一段333號27樓</t>
        </is>
      </c>
      <c r="G86" s="12" t="inlineStr">
        <is>
          <t>台北市信義區基隆路一段333號27樓</t>
        </is>
      </c>
      <c r="H86" s="12" t="inlineStr"/>
      <c r="I86" s="10" t="inlineStr">
        <is>
          <t>113/07/01</t>
        </is>
      </c>
      <c r="J86" s="11" t="inlineStr">
        <is>
          <t>全聯會一字第1130000304號</t>
        </is>
      </c>
      <c r="K86" s="10" t="inlineStr">
        <is>
          <t>北市</t>
        </is>
      </c>
      <c r="L86" s="10" t="inlineStr">
        <is>
          <t>113/07/01</t>
        </is>
      </c>
      <c r="M86" s="10" t="inlineStr">
        <is>
          <t>4647</t>
        </is>
      </c>
      <c r="N86" s="10" t="inlineStr">
        <is>
          <t>2026-06-05</t>
        </is>
      </c>
      <c r="O86" s="11" t="inlineStr">
        <is>
          <t>https://www.roccpa.org.tw/member_search/more?id=FF8ED5AF-333E-4DFB-9398-C65728B5E816</t>
        </is>
      </c>
    </row>
    <row r="87">
      <c r="A87" s="10" t="n">
        <v>86</v>
      </c>
      <c r="B87" s="11" t="inlineStr">
        <is>
          <t>資誠聯合會計師事務所</t>
        </is>
      </c>
      <c r="C87" s="11" t="inlineStr">
        <is>
          <t>PwC 資誠</t>
        </is>
      </c>
      <c r="D87" s="11" t="inlineStr">
        <is>
          <t>阮呂曼玉</t>
        </is>
      </c>
      <c r="E87" s="10" t="inlineStr">
        <is>
          <t>台北總所</t>
        </is>
      </c>
      <c r="F87" s="12" t="inlineStr">
        <is>
          <t>台北市信義區基隆路一段333號27樓</t>
        </is>
      </c>
      <c r="G87" s="12" t="inlineStr">
        <is>
          <t>台北市信義區基隆路一段333號27樓</t>
        </is>
      </c>
      <c r="H87" s="12" t="inlineStr"/>
      <c r="I87" s="10" t="inlineStr"/>
      <c r="J87" s="11" t="inlineStr"/>
      <c r="K87" s="10" t="inlineStr">
        <is>
          <t>北市</t>
        </is>
      </c>
      <c r="L87" s="10" t="inlineStr">
        <is>
          <t>094/03/24</t>
        </is>
      </c>
      <c r="M87" s="10" t="inlineStr">
        <is>
          <t>2735</t>
        </is>
      </c>
      <c r="N87" s="10" t="inlineStr">
        <is>
          <t>2026-06-05</t>
        </is>
      </c>
      <c r="O87" s="11" t="inlineStr">
        <is>
          <t>https://www.roccpa.org.tw/member_search/more?id=F784CB12-F8E9-42A3-833D-682D07E856E6</t>
        </is>
      </c>
    </row>
    <row r="88">
      <c r="A88" s="10" t="n">
        <v>87</v>
      </c>
      <c r="B88" s="11" t="inlineStr">
        <is>
          <t>資誠聯合會計師事務所</t>
        </is>
      </c>
      <c r="C88" s="11" t="inlineStr">
        <is>
          <t>PwC 資誠</t>
        </is>
      </c>
      <c r="D88" s="11" t="inlineStr">
        <is>
          <t>陳以謙</t>
        </is>
      </c>
      <c r="E88" s="10" t="inlineStr">
        <is>
          <t>台北總所</t>
        </is>
      </c>
      <c r="F88" s="12" t="inlineStr">
        <is>
          <t>台北市信義區基隆路一段333號27樓</t>
        </is>
      </c>
      <c r="G88" s="12" t="inlineStr">
        <is>
          <t>台北市信義區基隆路一段333號27樓</t>
        </is>
      </c>
      <c r="H88" s="12" t="inlineStr"/>
      <c r="I88" s="10" t="inlineStr">
        <is>
          <t>111/07/01</t>
        </is>
      </c>
      <c r="J88" s="11" t="inlineStr">
        <is>
          <t>全聯會一字第1110259</t>
        </is>
      </c>
      <c r="K88" s="10" t="inlineStr">
        <is>
          <t>北市</t>
        </is>
      </c>
      <c r="L88" s="10" t="inlineStr">
        <is>
          <t>111/07/01</t>
        </is>
      </c>
      <c r="M88" s="10" t="inlineStr">
        <is>
          <t>4449</t>
        </is>
      </c>
      <c r="N88" s="10" t="inlineStr">
        <is>
          <t>2026-06-05</t>
        </is>
      </c>
      <c r="O88" s="11" t="inlineStr">
        <is>
          <t>https://www.roccpa.org.tw/member_search/more?id=826AD852-5975-4E7B-B74D-4D929203D25A</t>
        </is>
      </c>
    </row>
    <row r="89">
      <c r="A89" s="10" t="n">
        <v>88</v>
      </c>
      <c r="B89" s="11" t="inlineStr">
        <is>
          <t>資誠聯合會計師事務所</t>
        </is>
      </c>
      <c r="C89" s="11" t="inlineStr">
        <is>
          <t>PwC 資誠</t>
        </is>
      </c>
      <c r="D89" s="11" t="inlineStr">
        <is>
          <t>陳啓東</t>
        </is>
      </c>
      <c r="E89" s="10" t="inlineStr">
        <is>
          <t>台北總所</t>
        </is>
      </c>
      <c r="F89" s="12" t="inlineStr">
        <is>
          <t>台北市信義區基隆路一段333號27樓</t>
        </is>
      </c>
      <c r="G89" s="12" t="inlineStr">
        <is>
          <t>台北市信義區基隆路一段333號27樓</t>
        </is>
      </c>
      <c r="H89" s="12" t="inlineStr"/>
      <c r="I89" s="10" t="inlineStr">
        <is>
          <t>113/07/01</t>
        </is>
      </c>
      <c r="J89" s="11" t="inlineStr">
        <is>
          <t>全聯會一字第1130000302號</t>
        </is>
      </c>
      <c r="K89" s="10" t="inlineStr">
        <is>
          <t>北市</t>
        </is>
      </c>
      <c r="L89" s="10" t="inlineStr">
        <is>
          <t>113/07/01</t>
        </is>
      </c>
      <c r="M89" s="10" t="inlineStr">
        <is>
          <t>4645</t>
        </is>
      </c>
      <c r="N89" s="10" t="inlineStr">
        <is>
          <t>2026-06-05</t>
        </is>
      </c>
      <c r="O89" s="11" t="inlineStr">
        <is>
          <t>https://www.roccpa.org.tw/member_search/more?id=CC82D49A-D6C0-4787-B73D-2E36BE1898AD</t>
        </is>
      </c>
    </row>
    <row r="90">
      <c r="A90" s="10" t="n">
        <v>89</v>
      </c>
      <c r="B90" s="11" t="inlineStr">
        <is>
          <t>資誠聯合會計師事務所</t>
        </is>
      </c>
      <c r="C90" s="11" t="inlineStr">
        <is>
          <t>PwC 資誠</t>
        </is>
      </c>
      <c r="D90" s="11" t="inlineStr">
        <is>
          <t>陳怡婷</t>
        </is>
      </c>
      <c r="E90" s="10" t="inlineStr">
        <is>
          <t>台北總所</t>
        </is>
      </c>
      <c r="F90" s="12" t="inlineStr">
        <is>
          <t>台北市信義區基隆路一段333號27樓</t>
        </is>
      </c>
      <c r="G90" s="12" t="inlineStr">
        <is>
          <t>台北市信義區基隆路一段333號27樓</t>
        </is>
      </c>
      <c r="H90" s="12" t="inlineStr"/>
      <c r="I90" s="10" t="inlineStr">
        <is>
          <t>115/07/01</t>
        </is>
      </c>
      <c r="J90" s="11" t="inlineStr">
        <is>
          <t>全聯會一字第1150000325號</t>
        </is>
      </c>
      <c r="K90" s="10" t="inlineStr">
        <is>
          <t>北市</t>
        </is>
      </c>
      <c r="L90" s="10" t="inlineStr">
        <is>
          <t>115/07/01</t>
        </is>
      </c>
      <c r="M90" s="10" t="inlineStr">
        <is>
          <t>4913</t>
        </is>
      </c>
      <c r="N90" s="10" t="inlineStr">
        <is>
          <t>2026-07-06</t>
        </is>
      </c>
      <c r="O90" s="11" t="inlineStr">
        <is>
          <t>https://www.roccpa.org.tw/member_search/more?id=50387aa524e14647a39446a4bd42cfda</t>
        </is>
      </c>
    </row>
    <row r="91">
      <c r="A91" s="10" t="n">
        <v>90</v>
      </c>
      <c r="B91" s="11" t="inlineStr">
        <is>
          <t>資誠聯合會計師事務所</t>
        </is>
      </c>
      <c r="C91" s="11" t="inlineStr">
        <is>
          <t>PwC 資誠</t>
        </is>
      </c>
      <c r="D91" s="11" t="inlineStr">
        <is>
          <t>陳惠君</t>
        </is>
      </c>
      <c r="E91" s="10" t="inlineStr">
        <is>
          <t>台北總所</t>
        </is>
      </c>
      <c r="F91" s="12" t="inlineStr">
        <is>
          <t>台北市信義區基隆路一段333號27樓</t>
        </is>
      </c>
      <c r="G91" s="12" t="inlineStr">
        <is>
          <t>台北市信義區基隆路一段333號27樓</t>
        </is>
      </c>
      <c r="H91" s="12" t="inlineStr"/>
      <c r="I91" s="10" t="inlineStr">
        <is>
          <t>114/07/01</t>
        </is>
      </c>
      <c r="J91" s="11" t="inlineStr">
        <is>
          <t>全聯會一字第1140000267號</t>
        </is>
      </c>
      <c r="K91" s="10" t="inlineStr">
        <is>
          <t>北市</t>
        </is>
      </c>
      <c r="L91" s="10" t="inlineStr">
        <is>
          <t>114/07/01</t>
        </is>
      </c>
      <c r="M91" s="10" t="inlineStr">
        <is>
          <t>4736</t>
        </is>
      </c>
      <c r="N91" s="10" t="inlineStr">
        <is>
          <t>2026-06-05</t>
        </is>
      </c>
      <c r="O91" s="11" t="inlineStr">
        <is>
          <t>https://www.roccpa.org.tw/member_search/more?id=6CAD7CFD-3685-4423-A04B-79B45DC0F4C4</t>
        </is>
      </c>
    </row>
    <row r="92">
      <c r="A92" s="10" t="n">
        <v>91</v>
      </c>
      <c r="B92" s="11" t="inlineStr">
        <is>
          <t>資誠聯合會計師事務所</t>
        </is>
      </c>
      <c r="C92" s="11" t="inlineStr">
        <is>
          <t>PwC 資誠</t>
        </is>
      </c>
      <c r="D92" s="11" t="inlineStr">
        <is>
          <t>陳憲正</t>
        </is>
      </c>
      <c r="E92" s="10" t="inlineStr">
        <is>
          <t>台北總所</t>
        </is>
      </c>
      <c r="F92" s="12" t="inlineStr">
        <is>
          <t>台北市信義區基隆路一段333號27樓</t>
        </is>
      </c>
      <c r="G92" s="12" t="inlineStr">
        <is>
          <t>台北市信義區基隆路一段333號27樓</t>
        </is>
      </c>
      <c r="H92" s="12" t="inlineStr"/>
      <c r="I92" s="10" t="inlineStr">
        <is>
          <t>106/06/01</t>
        </is>
      </c>
      <c r="J92" s="11" t="inlineStr">
        <is>
          <t>全聯會一字第1060206</t>
        </is>
      </c>
      <c r="K92" s="10" t="inlineStr">
        <is>
          <t>北市</t>
        </is>
      </c>
      <c r="L92" s="10" t="inlineStr">
        <is>
          <t>106/06/12</t>
        </is>
      </c>
      <c r="M92" s="10" t="inlineStr">
        <is>
          <t>4017</t>
        </is>
      </c>
      <c r="N92" s="10" t="inlineStr">
        <is>
          <t>2026-06-05</t>
        </is>
      </c>
      <c r="O92" s="11" t="inlineStr">
        <is>
          <t>https://www.roccpa.org.tw/member_search/more?id=A5DC6211-71DE-43E2-A4D4-221E4B87FDFC</t>
        </is>
      </c>
    </row>
    <row r="93">
      <c r="A93" s="10" t="n">
        <v>92</v>
      </c>
      <c r="B93" s="11" t="inlineStr">
        <is>
          <t>資誠聯合會計師事務所</t>
        </is>
      </c>
      <c r="C93" s="11" t="inlineStr">
        <is>
          <t>PwC 資誠</t>
        </is>
      </c>
      <c r="D93" s="11" t="inlineStr">
        <is>
          <t>陳晉昌</t>
        </is>
      </c>
      <c r="E93" s="10" t="inlineStr">
        <is>
          <t>台北總所</t>
        </is>
      </c>
      <c r="F93" s="12" t="inlineStr">
        <is>
          <t>台北市信義區基隆路一段333號27樓</t>
        </is>
      </c>
      <c r="G93" s="12" t="inlineStr">
        <is>
          <t>台北市信義區基隆路一段333號27樓</t>
        </is>
      </c>
      <c r="H93" s="12" t="inlineStr"/>
      <c r="I93" s="10" t="inlineStr">
        <is>
          <t>106/06/01</t>
        </is>
      </c>
      <c r="J93" s="11" t="inlineStr">
        <is>
          <t>全聯會一字第1060207</t>
        </is>
      </c>
      <c r="K93" s="10" t="inlineStr">
        <is>
          <t>北市</t>
        </is>
      </c>
      <c r="L93" s="10" t="inlineStr">
        <is>
          <t>106/06/12</t>
        </is>
      </c>
      <c r="M93" s="10" t="inlineStr">
        <is>
          <t>4018</t>
        </is>
      </c>
      <c r="N93" s="10" t="inlineStr">
        <is>
          <t>2026-06-05</t>
        </is>
      </c>
      <c r="O93" s="11" t="inlineStr">
        <is>
          <t>https://www.roccpa.org.tw/member_search/more?id=0023E7AC-A8D9-4EEA-9206-D3C705F9B61F</t>
        </is>
      </c>
    </row>
    <row r="94">
      <c r="A94" s="10" t="n">
        <v>93</v>
      </c>
      <c r="B94" s="11" t="inlineStr">
        <is>
          <t>資誠聯合會計師事務所</t>
        </is>
      </c>
      <c r="C94" s="11" t="inlineStr">
        <is>
          <t>PwC 資誠</t>
        </is>
      </c>
      <c r="D94" s="11" t="inlineStr">
        <is>
          <t>陳民卿</t>
        </is>
      </c>
      <c r="E94" s="10" t="inlineStr">
        <is>
          <t>台北總所</t>
        </is>
      </c>
      <c r="F94" s="12" t="inlineStr">
        <is>
          <t>台北市信義區基隆路一段333號27樓</t>
        </is>
      </c>
      <c r="G94" s="12" t="inlineStr">
        <is>
          <t>台北市信義區基隆路一段333號27樓</t>
        </is>
      </c>
      <c r="H94" s="12" t="inlineStr"/>
      <c r="I94" s="10" t="inlineStr">
        <is>
          <t>112/06/15</t>
        </is>
      </c>
      <c r="J94" s="11" t="inlineStr">
        <is>
          <t>全聯會一字第1120238</t>
        </is>
      </c>
      <c r="K94" s="10" t="inlineStr">
        <is>
          <t>北市</t>
        </is>
      </c>
      <c r="L94" s="10" t="inlineStr">
        <is>
          <t>112/06/15</t>
        </is>
      </c>
      <c r="M94" s="10" t="inlineStr">
        <is>
          <t>4541</t>
        </is>
      </c>
      <c r="N94" s="10" t="inlineStr">
        <is>
          <t>2026-06-05</t>
        </is>
      </c>
      <c r="O94" s="11" t="inlineStr">
        <is>
          <t>https://www.roccpa.org.tw/member_search/more?id=60B539BC-A993-4F03-90B7-E9B61377744F</t>
        </is>
      </c>
    </row>
    <row r="95">
      <c r="A95" s="10" t="n">
        <v>94</v>
      </c>
      <c r="B95" s="11" t="inlineStr">
        <is>
          <t>資誠聯合會計師事務所</t>
        </is>
      </c>
      <c r="C95" s="11" t="inlineStr">
        <is>
          <t>PwC 資誠</t>
        </is>
      </c>
      <c r="D95" s="11" t="inlineStr">
        <is>
          <t>陳麗媛</t>
        </is>
      </c>
      <c r="E95" s="10" t="inlineStr">
        <is>
          <t>台北總所</t>
        </is>
      </c>
      <c r="F95" s="12" t="inlineStr">
        <is>
          <t>台北市信義區基隆路一段333號27樓</t>
        </is>
      </c>
      <c r="G95" s="12" t="inlineStr">
        <is>
          <t>台北市信義區基隆路一段333號27樓</t>
        </is>
      </c>
      <c r="H95" s="12" t="inlineStr"/>
      <c r="I95" s="10" t="inlineStr">
        <is>
          <t>105/06/22</t>
        </is>
      </c>
      <c r="J95" s="11" t="inlineStr">
        <is>
          <t>全聯會一字第1050273</t>
        </is>
      </c>
      <c r="K95" s="10" t="inlineStr">
        <is>
          <t>北市</t>
        </is>
      </c>
      <c r="L95" s="10" t="inlineStr">
        <is>
          <t>105/07/21</t>
        </is>
      </c>
      <c r="M95" s="10" t="inlineStr">
        <is>
          <t>3945</t>
        </is>
      </c>
      <c r="N95" s="10" t="inlineStr">
        <is>
          <t>2026-06-05</t>
        </is>
      </c>
      <c r="O95" s="11" t="inlineStr">
        <is>
          <t>https://www.roccpa.org.tw/member_search/more?id=552DAD40-6B71-4921-B6E3-60BF6A51D078</t>
        </is>
      </c>
    </row>
    <row r="96">
      <c r="A96" s="10" t="n">
        <v>95</v>
      </c>
      <c r="B96" s="11" t="inlineStr">
        <is>
          <t>資誠聯合會計師事務所</t>
        </is>
      </c>
      <c r="C96" s="11" t="inlineStr">
        <is>
          <t>PwC 資誠</t>
        </is>
      </c>
      <c r="D96" s="11" t="inlineStr">
        <is>
          <t>顏裕芳</t>
        </is>
      </c>
      <c r="E96" s="10" t="inlineStr">
        <is>
          <t>台北總所</t>
        </is>
      </c>
      <c r="F96" s="12" t="inlineStr">
        <is>
          <t>台北市信義區基隆路一段333號27樓</t>
        </is>
      </c>
      <c r="G96" s="12" t="inlineStr">
        <is>
          <t>台北市信義區基隆路一段333號27樓</t>
        </is>
      </c>
      <c r="H96" s="12" t="inlineStr"/>
      <c r="I96" s="10" t="inlineStr">
        <is>
          <t>108/07/01</t>
        </is>
      </c>
      <c r="J96" s="11" t="inlineStr">
        <is>
          <t>全聯會一字第1080238</t>
        </is>
      </c>
      <c r="K96" s="10" t="inlineStr">
        <is>
          <t>北市</t>
        </is>
      </c>
      <c r="L96" s="10" t="inlineStr">
        <is>
          <t>108/07/01</t>
        </is>
      </c>
      <c r="M96" s="10" t="inlineStr">
        <is>
          <t>4176</t>
        </is>
      </c>
      <c r="N96" s="10" t="inlineStr">
        <is>
          <t>2026-06-05</t>
        </is>
      </c>
      <c r="O96" s="11" t="inlineStr">
        <is>
          <t>https://www.roccpa.org.tw/member_search/more?id=98046DBF-C5C7-454F-A059-4AA772C256C1</t>
        </is>
      </c>
    </row>
    <row r="97">
      <c r="A97" s="10" t="n">
        <v>96</v>
      </c>
      <c r="B97" s="11" t="inlineStr">
        <is>
          <t>資誠聯合會計師事務所</t>
        </is>
      </c>
      <c r="C97" s="11" t="inlineStr">
        <is>
          <t>PwC 資誠</t>
        </is>
      </c>
      <c r="D97" s="11" t="inlineStr">
        <is>
          <t>馮敏娟</t>
        </is>
      </c>
      <c r="E97" s="10" t="inlineStr">
        <is>
          <t>台北總所</t>
        </is>
      </c>
      <c r="F97" s="12" t="inlineStr">
        <is>
          <t>台北市信義區基隆路一段333號27樓</t>
        </is>
      </c>
      <c r="G97" s="12" t="inlineStr">
        <is>
          <t>台北市信義區基隆路一段333號27樓</t>
        </is>
      </c>
      <c r="H97" s="12" t="inlineStr"/>
      <c r="I97" s="10" t="inlineStr"/>
      <c r="J97" s="11" t="inlineStr"/>
      <c r="K97" s="10" t="inlineStr">
        <is>
          <t>北市</t>
        </is>
      </c>
      <c r="L97" s="10" t="inlineStr">
        <is>
          <t>090/02/26</t>
        </is>
      </c>
      <c r="M97" s="10" t="inlineStr">
        <is>
          <t>2341</t>
        </is>
      </c>
      <c r="N97" s="10" t="inlineStr">
        <is>
          <t>2026-06-05</t>
        </is>
      </c>
      <c r="O97" s="11" t="inlineStr">
        <is>
          <t>https://www.roccpa.org.tw/member_search/more?id=C1261D27-8AE4-4CA0-B29B-CB1AB5D9817A</t>
        </is>
      </c>
    </row>
    <row r="98">
      <c r="A98" s="10" t="n">
        <v>97</v>
      </c>
      <c r="B98" s="11" t="inlineStr">
        <is>
          <t>資誠聯合會計師事務所</t>
        </is>
      </c>
      <c r="C98" s="11" t="inlineStr">
        <is>
          <t>PwC 資誠</t>
        </is>
      </c>
      <c r="D98" s="11" t="inlineStr">
        <is>
          <t>黃世鈞</t>
        </is>
      </c>
      <c r="E98" s="10" t="inlineStr">
        <is>
          <t>台北總所</t>
        </is>
      </c>
      <c r="F98" s="12" t="inlineStr">
        <is>
          <t>台北市信義區基隆路一段333號27樓</t>
        </is>
      </c>
      <c r="G98" s="12" t="inlineStr">
        <is>
          <t>台北市信義區基隆路一段333號27樓</t>
        </is>
      </c>
      <c r="H98" s="12" t="inlineStr"/>
      <c r="I98" s="10" t="inlineStr">
        <is>
          <t>105/06/22</t>
        </is>
      </c>
      <c r="J98" s="11" t="inlineStr">
        <is>
          <t>全聯會一字第1050271</t>
        </is>
      </c>
      <c r="K98" s="10" t="inlineStr">
        <is>
          <t>北市</t>
        </is>
      </c>
      <c r="L98" s="10" t="inlineStr">
        <is>
          <t>105/07/21</t>
        </is>
      </c>
      <c r="M98" s="10" t="inlineStr">
        <is>
          <t>3943</t>
        </is>
      </c>
      <c r="N98" s="10" t="inlineStr">
        <is>
          <t>2026-06-05</t>
        </is>
      </c>
      <c r="O98" s="11" t="inlineStr">
        <is>
          <t>https://www.roccpa.org.tw/member_search/more?id=E1D2D11B-B3A8-4E5D-9DDA-860213B26BDD</t>
        </is>
      </c>
    </row>
    <row r="99">
      <c r="A99" s="10" t="n">
        <v>98</v>
      </c>
      <c r="B99" s="11" t="inlineStr">
        <is>
          <t>資誠聯合會計師事務所</t>
        </is>
      </c>
      <c r="C99" s="11" t="inlineStr">
        <is>
          <t>PwC 資誠</t>
        </is>
      </c>
      <c r="D99" s="11" t="inlineStr">
        <is>
          <t>黃文利</t>
        </is>
      </c>
      <c r="E99" s="10" t="inlineStr">
        <is>
          <t>台北總所</t>
        </is>
      </c>
      <c r="F99" s="12" t="inlineStr">
        <is>
          <t>台北市信義區基隆路一段333號27樓</t>
        </is>
      </c>
      <c r="G99" s="12" t="inlineStr">
        <is>
          <t>台北市信義區基隆路一段333號27樓</t>
        </is>
      </c>
      <c r="H99" s="12" t="inlineStr"/>
      <c r="I99" s="10" t="inlineStr">
        <is>
          <t>101/07/09</t>
        </is>
      </c>
      <c r="J99" s="11" t="inlineStr">
        <is>
          <t>全聯會一字第1010215</t>
        </is>
      </c>
      <c r="K99" s="10" t="inlineStr">
        <is>
          <t>北市</t>
        </is>
      </c>
      <c r="L99" s="10" t="inlineStr">
        <is>
          <t>101/07/10</t>
        </is>
      </c>
      <c r="M99" s="10" t="inlineStr">
        <is>
          <t>3479</t>
        </is>
      </c>
      <c r="N99" s="10" t="inlineStr">
        <is>
          <t>2026-06-05</t>
        </is>
      </c>
      <c r="O99" s="11" t="inlineStr">
        <is>
          <t>https://www.roccpa.org.tw/member_search/more?id=C55A1810-2E1B-4E13-8DEE-F695BB89E4D8</t>
        </is>
      </c>
    </row>
    <row r="100">
      <c r="A100" s="10" t="n">
        <v>99</v>
      </c>
      <c r="B100" s="11" t="inlineStr">
        <is>
          <t>資誠聯合會計師事務所</t>
        </is>
      </c>
      <c r="C100" s="11" t="inlineStr">
        <is>
          <t>PwC 資誠</t>
        </is>
      </c>
      <c r="D100" s="11" t="inlineStr">
        <is>
          <t>黃清衍</t>
        </is>
      </c>
      <c r="E100" s="10" t="inlineStr">
        <is>
          <t>台北總所</t>
        </is>
      </c>
      <c r="F100" s="12" t="inlineStr">
        <is>
          <t>台北市信義區基隆路一段333號27樓</t>
        </is>
      </c>
      <c r="G100" s="12" t="inlineStr">
        <is>
          <t>台北市信義區基隆路一段333號27樓</t>
        </is>
      </c>
      <c r="H100" s="12" t="inlineStr"/>
      <c r="I100" s="10" t="inlineStr">
        <is>
          <t>110/06/15</t>
        </is>
      </c>
      <c r="J100" s="11" t="inlineStr">
        <is>
          <t>全聯會一字第1100242</t>
        </is>
      </c>
      <c r="K100" s="10" t="inlineStr">
        <is>
          <t>北市</t>
        </is>
      </c>
      <c r="L100" s="10" t="inlineStr">
        <is>
          <t>110/06/15</t>
        </is>
      </c>
      <c r="M100" s="10" t="inlineStr">
        <is>
          <t>4345</t>
        </is>
      </c>
      <c r="N100" s="10" t="inlineStr">
        <is>
          <t>2026-06-05</t>
        </is>
      </c>
      <c r="O100" s="11" t="inlineStr">
        <is>
          <t>https://www.roccpa.org.tw/member_search/more?id=91467E4C-527A-4C5C-91F0-73B256B064CC</t>
        </is>
      </c>
    </row>
    <row r="101">
      <c r="A101" s="10" t="n">
        <v>100</v>
      </c>
      <c r="B101" s="11" t="inlineStr">
        <is>
          <t>資誠聯合會計師事務所</t>
        </is>
      </c>
      <c r="C101" s="11" t="inlineStr">
        <is>
          <t>PwC 資誠</t>
        </is>
      </c>
      <c r="D101" s="11" t="inlineStr">
        <is>
          <t>黃珮娟</t>
        </is>
      </c>
      <c r="E101" s="10" t="inlineStr">
        <is>
          <t>台北總所</t>
        </is>
      </c>
      <c r="F101" s="12" t="inlineStr">
        <is>
          <t>台北市信義區基隆路一段333號27樓</t>
        </is>
      </c>
      <c r="G101" s="12" t="inlineStr">
        <is>
          <t>台北市信義區基隆路一段333號27樓</t>
        </is>
      </c>
      <c r="H101" s="12" t="inlineStr"/>
      <c r="I101" s="10" t="inlineStr">
        <is>
          <t>110/06/15</t>
        </is>
      </c>
      <c r="J101" s="11" t="inlineStr">
        <is>
          <t>全聯會一字第1100244</t>
        </is>
      </c>
      <c r="K101" s="10" t="inlineStr">
        <is>
          <t>北市</t>
        </is>
      </c>
      <c r="L101" s="10" t="inlineStr">
        <is>
          <t>110/06/15</t>
        </is>
      </c>
      <c r="M101" s="10" t="inlineStr">
        <is>
          <t>4347</t>
        </is>
      </c>
      <c r="N101" s="10" t="inlineStr">
        <is>
          <t>2026-06-05</t>
        </is>
      </c>
      <c r="O101" s="11" t="inlineStr">
        <is>
          <t>https://www.roccpa.org.tw/member_search/more?id=94A2E34D-D701-4D18-A3D2-021F25D1A4A0</t>
        </is>
      </c>
    </row>
    <row r="102">
      <c r="A102" s="10" t="n">
        <v>101</v>
      </c>
      <c r="B102" s="11" t="inlineStr">
        <is>
          <t>資誠聯合會計師事務所</t>
        </is>
      </c>
      <c r="C102" s="11" t="inlineStr">
        <is>
          <t>PwC 資誠</t>
        </is>
      </c>
      <c r="D102" s="11" t="inlineStr">
        <is>
          <t>黃金連</t>
        </is>
      </c>
      <c r="E102" s="10" t="inlineStr">
        <is>
          <t>台北總所</t>
        </is>
      </c>
      <c r="F102" s="12" t="inlineStr">
        <is>
          <t>台北市信義區基隆路一段333號27樓</t>
        </is>
      </c>
      <c r="G102" s="12" t="inlineStr">
        <is>
          <t>台北市信義區基隆路一段333號27樓</t>
        </is>
      </c>
      <c r="H102" s="12" t="inlineStr"/>
      <c r="I102" s="10" t="inlineStr">
        <is>
          <t>110/06/15</t>
        </is>
      </c>
      <c r="J102" s="11" t="inlineStr">
        <is>
          <t>全聯會一字第1100245</t>
        </is>
      </c>
      <c r="K102" s="10" t="inlineStr">
        <is>
          <t>北市</t>
        </is>
      </c>
      <c r="L102" s="10" t="inlineStr">
        <is>
          <t>110/06/15</t>
        </is>
      </c>
      <c r="M102" s="10" t="inlineStr">
        <is>
          <t>4348</t>
        </is>
      </c>
      <c r="N102" s="10" t="inlineStr">
        <is>
          <t>2026-06-05</t>
        </is>
      </c>
      <c r="O102" s="11" t="inlineStr">
        <is>
          <t>https://www.roccpa.org.tw/member_search/more?id=BD9D9B41-4C83-480D-ACE3-F3F5018D7EB1</t>
        </is>
      </c>
    </row>
    <row r="103">
      <c r="A103" s="10" t="n">
        <v>102</v>
      </c>
      <c r="B103" s="11" t="inlineStr">
        <is>
          <t>資誠聯合會計師事務所</t>
        </is>
      </c>
      <c r="C103" s="11" t="inlineStr">
        <is>
          <t>PwC 資誠</t>
        </is>
      </c>
      <c r="D103" s="11" t="inlineStr">
        <is>
          <t>吳偉豪</t>
        </is>
      </c>
      <c r="E103" s="10" t="inlineStr">
        <is>
          <t>桃園分所</t>
        </is>
      </c>
      <c r="F103" s="12" t="inlineStr">
        <is>
          <t>桃園市桃園區中正路1092號30樓</t>
        </is>
      </c>
      <c r="G103" s="12" t="inlineStr">
        <is>
          <t>台北市信義區基隆路一段333號27樓</t>
        </is>
      </c>
      <c r="H103" s="12" t="inlineStr">
        <is>
          <t>桃園市桃園區中正路1092號30樓</t>
        </is>
      </c>
      <c r="I103" s="10" t="inlineStr">
        <is>
          <t>108/07/01</t>
        </is>
      </c>
      <c r="J103" s="11" t="inlineStr">
        <is>
          <t>全聯會一字第1080241</t>
        </is>
      </c>
      <c r="K103" s="10" t="inlineStr">
        <is>
          <t>省</t>
        </is>
      </c>
      <c r="L103" s="10" t="inlineStr">
        <is>
          <t>108/07/01</t>
        </is>
      </c>
      <c r="M103" s="10" t="inlineStr">
        <is>
          <t>4693</t>
        </is>
      </c>
      <c r="N103" s="10" t="inlineStr">
        <is>
          <t>2026-06-05</t>
        </is>
      </c>
      <c r="O103" s="11" t="inlineStr">
        <is>
          <t>https://www.roccpa.org.tw/member_search/more?id=F5A3EB35-F466-49C3-B5B1-33AE198B9645</t>
        </is>
      </c>
    </row>
    <row r="104">
      <c r="A104" s="10" t="n">
        <v>103</v>
      </c>
      <c r="B104" s="11" t="inlineStr">
        <is>
          <t>資誠聯合會計師事務所</t>
        </is>
      </c>
      <c r="C104" s="11" t="inlineStr">
        <is>
          <t>PwC 資誠</t>
        </is>
      </c>
      <c r="D104" s="11" t="inlineStr">
        <is>
          <t>李燕娜</t>
        </is>
      </c>
      <c r="E104" s="10" t="inlineStr">
        <is>
          <t>桃園分所</t>
        </is>
      </c>
      <c r="F104" s="12" t="inlineStr">
        <is>
          <t>桃園市桃園區中正路1092號30樓</t>
        </is>
      </c>
      <c r="G104" s="12" t="inlineStr">
        <is>
          <t>台北市信義區基隆路一段333號27樓</t>
        </is>
      </c>
      <c r="H104" s="12" t="inlineStr">
        <is>
          <t>桃園市桃園區中正路1092號30樓</t>
        </is>
      </c>
      <c r="I104" s="10" t="inlineStr"/>
      <c r="J104" s="11" t="inlineStr"/>
      <c r="K104" s="10" t="inlineStr">
        <is>
          <t>北市</t>
        </is>
      </c>
      <c r="L104" s="10" t="inlineStr">
        <is>
          <t>095/04/26</t>
        </is>
      </c>
      <c r="M104" s="10" t="inlineStr">
        <is>
          <t>2848</t>
        </is>
      </c>
      <c r="N104" s="10" t="inlineStr">
        <is>
          <t>2026-06-05</t>
        </is>
      </c>
      <c r="O104" s="11" t="inlineStr">
        <is>
          <t>https://www.roccpa.org.tw/member_search/more?id=6A942A69-B837-49AB-BE76-A26DF5471A57</t>
        </is>
      </c>
    </row>
    <row r="105">
      <c r="A105" s="10" t="n">
        <v>104</v>
      </c>
      <c r="B105" s="11" t="inlineStr">
        <is>
          <t>資誠聯合會計師事務所</t>
        </is>
      </c>
      <c r="C105" s="11" t="inlineStr">
        <is>
          <t>PwC 資誠</t>
        </is>
      </c>
      <c r="D105" s="11" t="inlineStr">
        <is>
          <t>劉倩瑜</t>
        </is>
      </c>
      <c r="E105" s="10" t="inlineStr">
        <is>
          <t>新竹分所</t>
        </is>
      </c>
      <c r="F105" s="12" t="inlineStr">
        <is>
          <t>新竹市科學園區工業東三路2號5樓</t>
        </is>
      </c>
      <c r="G105" s="12" t="inlineStr">
        <is>
          <t>台北市信義區基隆路一段333號27樓</t>
        </is>
      </c>
      <c r="H105" s="12" t="inlineStr">
        <is>
          <t>新竹市科學園區工業東三路2號5樓</t>
        </is>
      </c>
      <c r="I105" s="10" t="inlineStr">
        <is>
          <t>109/07/01</t>
        </is>
      </c>
      <c r="J105" s="11" t="inlineStr">
        <is>
          <t>全聯會一字第1090242</t>
        </is>
      </c>
      <c r="K105" s="10" t="inlineStr">
        <is>
          <t>省</t>
        </is>
      </c>
      <c r="L105" s="10" t="inlineStr">
        <is>
          <t>109/07/01</t>
        </is>
      </c>
      <c r="M105" s="10" t="inlineStr">
        <is>
          <t>4757</t>
        </is>
      </c>
      <c r="N105" s="10" t="inlineStr">
        <is>
          <t>2026-06-05</t>
        </is>
      </c>
      <c r="O105" s="11" t="inlineStr">
        <is>
          <t>https://www.roccpa.org.tw/member_search/more?id=40AD5C8E-EBBA-4252-9121-8A1DCE106CF1</t>
        </is>
      </c>
    </row>
    <row r="106">
      <c r="A106" s="10" t="n">
        <v>105</v>
      </c>
      <c r="B106" s="11" t="inlineStr">
        <is>
          <t>資誠聯合會計師事務所</t>
        </is>
      </c>
      <c r="C106" s="11" t="inlineStr">
        <is>
          <t>PwC 資誠</t>
        </is>
      </c>
      <c r="D106" s="11" t="inlineStr">
        <is>
          <t>周依潔</t>
        </is>
      </c>
      <c r="E106" s="10" t="inlineStr">
        <is>
          <t>新竹分所</t>
        </is>
      </c>
      <c r="F106" s="12" t="inlineStr">
        <is>
          <t>新竹市科學園區工業東三路2號5樓</t>
        </is>
      </c>
      <c r="G106" s="12" t="inlineStr">
        <is>
          <t>台北市信義區基隆路一段333號27樓</t>
        </is>
      </c>
      <c r="H106" s="12" t="inlineStr">
        <is>
          <t>新竹市科學園區工業東三路2號5樓</t>
        </is>
      </c>
      <c r="I106" s="10" t="inlineStr">
        <is>
          <t>114/07/01</t>
        </is>
      </c>
      <c r="J106" s="11" t="inlineStr">
        <is>
          <t>全聯會一字第1140000266號</t>
        </is>
      </c>
      <c r="K106" s="10" t="inlineStr">
        <is>
          <t>省</t>
        </is>
      </c>
      <c r="L106" s="10" t="inlineStr">
        <is>
          <t>114/07/01</t>
        </is>
      </c>
      <c r="M106" s="10" t="inlineStr">
        <is>
          <t>5138</t>
        </is>
      </c>
      <c r="N106" s="10" t="inlineStr">
        <is>
          <t>2026-06-05</t>
        </is>
      </c>
      <c r="O106" s="11" t="inlineStr">
        <is>
          <t>https://www.roccpa.org.tw/member_search/more?id=559EEA91-D664-4432-B9ED-C6E67F352312</t>
        </is>
      </c>
    </row>
    <row r="107">
      <c r="A107" s="10" t="n">
        <v>106</v>
      </c>
      <c r="B107" s="11" t="inlineStr">
        <is>
          <t>資誠聯合會計師事務所</t>
        </is>
      </c>
      <c r="C107" s="11" t="inlineStr">
        <is>
          <t>PwC 資誠</t>
        </is>
      </c>
      <c r="D107" s="11" t="inlineStr">
        <is>
          <t>張舒淳</t>
        </is>
      </c>
      <c r="E107" s="10" t="inlineStr">
        <is>
          <t>新竹分所</t>
        </is>
      </c>
      <c r="F107" s="12" t="inlineStr">
        <is>
          <t>新竹市科學園區工業東三路2號5樓</t>
        </is>
      </c>
      <c r="G107" s="12" t="inlineStr">
        <is>
          <t>台北市信義區基隆路一段333號27樓</t>
        </is>
      </c>
      <c r="H107" s="12" t="inlineStr">
        <is>
          <t>新竹市科學園區工業東三路2號5樓</t>
        </is>
      </c>
      <c r="I107" s="10" t="inlineStr">
        <is>
          <t>113/07/01</t>
        </is>
      </c>
      <c r="J107" s="11" t="inlineStr">
        <is>
          <t>全聯會一字第1130000310號</t>
        </is>
      </c>
      <c r="K107" s="10" t="inlineStr">
        <is>
          <t>省</t>
        </is>
      </c>
      <c r="L107" s="10" t="inlineStr">
        <is>
          <t>113/07/01</t>
        </is>
      </c>
      <c r="M107" s="10" t="inlineStr">
        <is>
          <t>5039</t>
        </is>
      </c>
      <c r="N107" s="10" t="inlineStr">
        <is>
          <t>2026-06-05</t>
        </is>
      </c>
      <c r="O107" s="11" t="inlineStr">
        <is>
          <t>https://www.roccpa.org.tw/member_search/more?id=98DB747E-B2A8-47D2-9030-6F9A102AB98A</t>
        </is>
      </c>
    </row>
    <row r="108">
      <c r="A108" s="10" t="n">
        <v>107</v>
      </c>
      <c r="B108" s="11" t="inlineStr">
        <is>
          <t>資誠聯合會計師事務所</t>
        </is>
      </c>
      <c r="C108" s="11" t="inlineStr">
        <is>
          <t>PwC 資誠</t>
        </is>
      </c>
      <c r="D108" s="11" t="inlineStr">
        <is>
          <t>李典易</t>
        </is>
      </c>
      <c r="E108" s="10" t="inlineStr">
        <is>
          <t>新竹分所</t>
        </is>
      </c>
      <c r="F108" s="12" t="inlineStr">
        <is>
          <t>新竹市科學園區工業東三路2號5樓</t>
        </is>
      </c>
      <c r="G108" s="12" t="inlineStr">
        <is>
          <t>台北市信義區基隆路一段333號27樓</t>
        </is>
      </c>
      <c r="H108" s="12" t="inlineStr">
        <is>
          <t>新竹市科學園區工業東三路2號5樓</t>
        </is>
      </c>
      <c r="I108" s="10" t="inlineStr">
        <is>
          <t>102/07/04</t>
        </is>
      </c>
      <c r="J108" s="11" t="inlineStr">
        <is>
          <t>全聯會一字第1020258</t>
        </is>
      </c>
      <c r="K108" s="10" t="inlineStr">
        <is>
          <t>省</t>
        </is>
      </c>
      <c r="L108" s="10" t="inlineStr">
        <is>
          <t>102/07/08</t>
        </is>
      </c>
      <c r="M108" s="10" t="inlineStr">
        <is>
          <t>4112</t>
        </is>
      </c>
      <c r="N108" s="10" t="inlineStr">
        <is>
          <t>2026-06-05</t>
        </is>
      </c>
      <c r="O108" s="11" t="inlineStr">
        <is>
          <t>https://www.roccpa.org.tw/member_search/more?id=CA8982CF-B881-4E9B-8E0B-408D9A81E2C2</t>
        </is>
      </c>
    </row>
    <row r="109">
      <c r="A109" s="10" t="n">
        <v>108</v>
      </c>
      <c r="B109" s="11" t="inlineStr">
        <is>
          <t>資誠聯合會計師事務所</t>
        </is>
      </c>
      <c r="C109" s="11" t="inlineStr">
        <is>
          <t>PwC 資誠</t>
        </is>
      </c>
      <c r="D109" s="11" t="inlineStr">
        <is>
          <t>江采燕</t>
        </is>
      </c>
      <c r="E109" s="10" t="inlineStr">
        <is>
          <t>新竹分所</t>
        </is>
      </c>
      <c r="F109" s="12" t="inlineStr">
        <is>
          <t>新竹市科學園區工業東三路2號5樓</t>
        </is>
      </c>
      <c r="G109" s="12" t="inlineStr">
        <is>
          <t>台北市信義區基隆路一段333號27樓</t>
        </is>
      </c>
      <c r="H109" s="12" t="inlineStr">
        <is>
          <t>新竹市科學園區工業東三路2號5樓</t>
        </is>
      </c>
      <c r="I109" s="10" t="inlineStr">
        <is>
          <t>106/06/01</t>
        </is>
      </c>
      <c r="J109" s="11" t="inlineStr">
        <is>
          <t>全聯會一字第1060205</t>
        </is>
      </c>
      <c r="K109" s="10" t="inlineStr">
        <is>
          <t>省</t>
        </is>
      </c>
      <c r="L109" s="10" t="inlineStr">
        <is>
          <t>106/06/20</t>
        </is>
      </c>
      <c r="M109" s="10" t="inlineStr">
        <is>
          <t>4579</t>
        </is>
      </c>
      <c r="N109" s="10" t="inlineStr">
        <is>
          <t>2026-06-05</t>
        </is>
      </c>
      <c r="O109" s="11" t="inlineStr">
        <is>
          <t>https://www.roccpa.org.tw/member_search/more?id=7591CC23-D65D-4974-9203-A496CF1FAA83</t>
        </is>
      </c>
    </row>
    <row r="110">
      <c r="A110" s="10" t="n">
        <v>109</v>
      </c>
      <c r="B110" s="11" t="inlineStr">
        <is>
          <t>資誠聯合會計師事務所</t>
        </is>
      </c>
      <c r="C110" s="11" t="inlineStr">
        <is>
          <t>PwC 資誠</t>
        </is>
      </c>
      <c r="D110" s="11" t="inlineStr">
        <is>
          <t>白淑蒨</t>
        </is>
      </c>
      <c r="E110" s="10" t="inlineStr">
        <is>
          <t>新竹分所</t>
        </is>
      </c>
      <c r="F110" s="12" t="inlineStr">
        <is>
          <t>新竹市科學園區工業東三路2號5樓</t>
        </is>
      </c>
      <c r="G110" s="12" t="inlineStr">
        <is>
          <t>台北市信義區基隆路一段333號27樓</t>
        </is>
      </c>
      <c r="H110" s="12" t="inlineStr">
        <is>
          <t>新竹市科學園區工業東三路2號5樓</t>
        </is>
      </c>
      <c r="I110" s="10" t="inlineStr">
        <is>
          <t>111/07/01</t>
        </is>
      </c>
      <c r="J110" s="11" t="inlineStr">
        <is>
          <t>全聯會一字第1110253</t>
        </is>
      </c>
      <c r="K110" s="10" t="inlineStr">
        <is>
          <t>省</t>
        </is>
      </c>
      <c r="L110" s="10" t="inlineStr">
        <is>
          <t>111/07/01</t>
        </is>
      </c>
      <c r="M110" s="10" t="inlineStr">
        <is>
          <t>4895</t>
        </is>
      </c>
      <c r="N110" s="10" t="inlineStr">
        <is>
          <t>2026-06-05</t>
        </is>
      </c>
      <c r="O110" s="11" t="inlineStr">
        <is>
          <t>https://www.roccpa.org.tw/member_search/more?id=960426C3-CA18-4083-A920-52BBB5956B79</t>
        </is>
      </c>
    </row>
    <row r="111">
      <c r="A111" s="10" t="n">
        <v>110</v>
      </c>
      <c r="B111" s="11" t="inlineStr">
        <is>
          <t>資誠聯合會計師事務所</t>
        </is>
      </c>
      <c r="C111" s="11" t="inlineStr">
        <is>
          <t>PwC 資誠</t>
        </is>
      </c>
      <c r="D111" s="11" t="inlineStr">
        <is>
          <t>莊哲懿</t>
        </is>
      </c>
      <c r="E111" s="10" t="inlineStr">
        <is>
          <t>新竹分所</t>
        </is>
      </c>
      <c r="F111" s="12" t="inlineStr">
        <is>
          <t>新竹市科學園區工業東三路2號5樓</t>
        </is>
      </c>
      <c r="G111" s="12" t="inlineStr">
        <is>
          <t>台北市信義區基隆路一段333號27樓</t>
        </is>
      </c>
      <c r="H111" s="12" t="inlineStr">
        <is>
          <t>新竹市科學園區工業東三路2號5樓</t>
        </is>
      </c>
      <c r="I111" s="10" t="inlineStr">
        <is>
          <t>115/07/01</t>
        </is>
      </c>
      <c r="J111" s="11" t="inlineStr">
        <is>
          <t>全聯會一字第1150000321號</t>
        </is>
      </c>
      <c r="K111" s="10" t="inlineStr">
        <is>
          <t>省</t>
        </is>
      </c>
      <c r="L111" s="10" t="inlineStr">
        <is>
          <t>115/07/01</t>
        </is>
      </c>
      <c r="M111" s="10" t="inlineStr">
        <is>
          <t>5408</t>
        </is>
      </c>
      <c r="N111" s="10" t="inlineStr">
        <is>
          <t>2026-07-06</t>
        </is>
      </c>
      <c r="O111" s="11" t="inlineStr">
        <is>
          <t>https://www.roccpa.org.tw/member_search/more?id=cf8953ff9e574e9789de1bd46e7059fd</t>
        </is>
      </c>
    </row>
    <row r="112">
      <c r="A112" s="10" t="n">
        <v>111</v>
      </c>
      <c r="B112" s="11" t="inlineStr">
        <is>
          <t>資誠聯合會計師事務所</t>
        </is>
      </c>
      <c r="C112" s="11" t="inlineStr">
        <is>
          <t>PwC 資誠</t>
        </is>
      </c>
      <c r="D112" s="11" t="inlineStr">
        <is>
          <t>蔡欣怡</t>
        </is>
      </c>
      <c r="E112" s="10" t="inlineStr">
        <is>
          <t>新竹分所</t>
        </is>
      </c>
      <c r="F112" s="12" t="inlineStr">
        <is>
          <t>新竹市科學園區工業東三路2號5樓</t>
        </is>
      </c>
      <c r="G112" s="12" t="inlineStr">
        <is>
          <t>台北市信義區基隆路一段333號27樓</t>
        </is>
      </c>
      <c r="H112" s="12" t="inlineStr">
        <is>
          <t>新竹市科學園區工業東三路2號5樓</t>
        </is>
      </c>
      <c r="I112" s="10" t="inlineStr">
        <is>
          <t>114/07/01</t>
        </is>
      </c>
      <c r="J112" s="11" t="inlineStr">
        <is>
          <t>全聯會一字第1140000265號</t>
        </is>
      </c>
      <c r="K112" s="10" t="inlineStr">
        <is>
          <t>省</t>
        </is>
      </c>
      <c r="L112" s="10" t="inlineStr">
        <is>
          <t>114/07/01</t>
        </is>
      </c>
      <c r="M112" s="10" t="inlineStr">
        <is>
          <t>5137</t>
        </is>
      </c>
      <c r="N112" s="10" t="inlineStr">
        <is>
          <t>2026-06-05</t>
        </is>
      </c>
      <c r="O112" s="11" t="inlineStr">
        <is>
          <t>https://www.roccpa.org.tw/member_search/more?id=1DE8DF84-2EA9-4F24-BEE1-8A9209900BE4</t>
        </is>
      </c>
    </row>
    <row r="113">
      <c r="A113" s="10" t="n">
        <v>112</v>
      </c>
      <c r="B113" s="11" t="inlineStr">
        <is>
          <t>資誠聯合會計師事務所</t>
        </is>
      </c>
      <c r="C113" s="11" t="inlineStr">
        <is>
          <t>PwC 資誠</t>
        </is>
      </c>
      <c r="D113" s="11" t="inlineStr">
        <is>
          <t>蔣承翰</t>
        </is>
      </c>
      <c r="E113" s="10" t="inlineStr">
        <is>
          <t>新竹分所</t>
        </is>
      </c>
      <c r="F113" s="12" t="inlineStr">
        <is>
          <t>新竹市科學園區工業東三路2號5樓</t>
        </is>
      </c>
      <c r="G113" s="12" t="inlineStr">
        <is>
          <t>台北市信義區基隆路一段333號27樓</t>
        </is>
      </c>
      <c r="H113" s="12" t="inlineStr">
        <is>
          <t>新竹市科學園區工業東三路2號5樓</t>
        </is>
      </c>
      <c r="I113" s="10" t="inlineStr">
        <is>
          <t>113/07/01</t>
        </is>
      </c>
      <c r="J113" s="11" t="inlineStr">
        <is>
          <t>全聯會一字第1130000311號</t>
        </is>
      </c>
      <c r="K113" s="10" t="inlineStr">
        <is>
          <t>省</t>
        </is>
      </c>
      <c r="L113" s="10" t="inlineStr">
        <is>
          <t>113/07/01</t>
        </is>
      </c>
      <c r="M113" s="10" t="inlineStr">
        <is>
          <t>5040</t>
        </is>
      </c>
      <c r="N113" s="10" t="inlineStr">
        <is>
          <t>2026-06-05</t>
        </is>
      </c>
      <c r="O113" s="11" t="inlineStr">
        <is>
          <t>https://www.roccpa.org.tw/member_search/more?id=8F12D4CD-2637-43EF-84BB-7765A351D424</t>
        </is>
      </c>
    </row>
    <row r="114">
      <c r="A114" s="10" t="n">
        <v>113</v>
      </c>
      <c r="B114" s="11" t="inlineStr">
        <is>
          <t>資誠聯合會計師事務所</t>
        </is>
      </c>
      <c r="C114" s="11" t="inlineStr">
        <is>
          <t>PwC 資誠</t>
        </is>
      </c>
      <c r="D114" s="11" t="inlineStr">
        <is>
          <t>鮑敦川</t>
        </is>
      </c>
      <c r="E114" s="10" t="inlineStr">
        <is>
          <t>新竹分所</t>
        </is>
      </c>
      <c r="F114" s="12" t="inlineStr">
        <is>
          <t>新竹市科學園區工業東三路2號5樓</t>
        </is>
      </c>
      <c r="G114" s="12" t="inlineStr">
        <is>
          <t>台北市信義區基隆路一段333號27樓</t>
        </is>
      </c>
      <c r="H114" s="12" t="inlineStr">
        <is>
          <t>新竹市科學園區工業東三路2號5樓</t>
        </is>
      </c>
      <c r="I114" s="10" t="inlineStr">
        <is>
          <t>111/07/01</t>
        </is>
      </c>
      <c r="J114" s="11" t="inlineStr">
        <is>
          <t>全聯會一字第1110252</t>
        </is>
      </c>
      <c r="K114" s="10" t="inlineStr">
        <is>
          <t>省</t>
        </is>
      </c>
      <c r="L114" s="10" t="inlineStr">
        <is>
          <t>111/07/01</t>
        </is>
      </c>
      <c r="M114" s="10" t="inlineStr">
        <is>
          <t>4894</t>
        </is>
      </c>
      <c r="N114" s="10" t="inlineStr">
        <is>
          <t>2026-06-05</t>
        </is>
      </c>
      <c r="O114" s="11" t="inlineStr">
        <is>
          <t>https://www.roccpa.org.tw/member_search/more?id=F7E20546-76E5-4136-90B1-67AF266F57B9</t>
        </is>
      </c>
    </row>
    <row r="115">
      <c r="A115" s="10" t="n">
        <v>114</v>
      </c>
      <c r="B115" s="11" t="inlineStr">
        <is>
          <t>資誠聯合會計師事務所</t>
        </is>
      </c>
      <c r="C115" s="11" t="inlineStr">
        <is>
          <t>PwC 資誠</t>
        </is>
      </c>
      <c r="D115" s="11" t="inlineStr">
        <is>
          <t>劉美蘭</t>
        </is>
      </c>
      <c r="E115" s="10" t="inlineStr">
        <is>
          <t>台中分所</t>
        </is>
      </c>
      <c r="F115" s="12" t="inlineStr">
        <is>
          <t>台中市西屯區市政路402號12樓</t>
        </is>
      </c>
      <c r="G115" s="12" t="inlineStr">
        <is>
          <t>台北市信義區基隆路一段333號27樓</t>
        </is>
      </c>
      <c r="H115" s="12" t="inlineStr">
        <is>
          <t>台中市西屯區市政路402號12樓</t>
        </is>
      </c>
      <c r="I115" s="10" t="inlineStr">
        <is>
          <t>107/06/01</t>
        </is>
      </c>
      <c r="J115" s="11" t="inlineStr">
        <is>
          <t>全聯會一字第1070230</t>
        </is>
      </c>
      <c r="K115" s="10" t="inlineStr">
        <is>
          <t>中市</t>
        </is>
      </c>
      <c r="L115" s="10" t="inlineStr">
        <is>
          <t>107/06/01</t>
        </is>
      </c>
      <c r="M115" s="10" t="inlineStr">
        <is>
          <t>953</t>
        </is>
      </c>
      <c r="N115" s="10" t="inlineStr">
        <is>
          <t>2026-06-05</t>
        </is>
      </c>
      <c r="O115" s="11" t="inlineStr">
        <is>
          <t>https://www.roccpa.org.tw/member_search/more?id=550443E3-38EA-4F3E-9C19-E70A23AFFEE3</t>
        </is>
      </c>
    </row>
    <row r="116">
      <c r="A116" s="10" t="n">
        <v>115</v>
      </c>
      <c r="B116" s="11" t="inlineStr">
        <is>
          <t>資誠聯合會計師事務所</t>
        </is>
      </c>
      <c r="C116" s="11" t="inlineStr">
        <is>
          <t>PwC 資誠</t>
        </is>
      </c>
      <c r="D116" s="11" t="inlineStr">
        <is>
          <t>吳松源</t>
        </is>
      </c>
      <c r="E116" s="10" t="inlineStr">
        <is>
          <t>台中分所</t>
        </is>
      </c>
      <c r="F116" s="12" t="inlineStr">
        <is>
          <t>台中市西屯區市政路402號12樓</t>
        </is>
      </c>
      <c r="G116" s="12" t="inlineStr">
        <is>
          <t>台北市信義區基隆路一段333號27樓</t>
        </is>
      </c>
      <c r="H116" s="12" t="inlineStr">
        <is>
          <t>台中市西屯區市政路402號12樓</t>
        </is>
      </c>
      <c r="I116" s="10" t="inlineStr">
        <is>
          <t>109/07/01</t>
        </is>
      </c>
      <c r="J116" s="11" t="inlineStr">
        <is>
          <t>全聯會一字第1090243</t>
        </is>
      </c>
      <c r="K116" s="10" t="inlineStr">
        <is>
          <t>中市</t>
        </is>
      </c>
      <c r="L116" s="10" t="inlineStr">
        <is>
          <t>109/07/01</t>
        </is>
      </c>
      <c r="M116" s="10" t="inlineStr">
        <is>
          <t>1004</t>
        </is>
      </c>
      <c r="N116" s="10" t="inlineStr">
        <is>
          <t>2026-06-05</t>
        </is>
      </c>
      <c r="O116" s="11" t="inlineStr">
        <is>
          <t>https://www.roccpa.org.tw/member_search/more?id=8C2EDFFB-A3B3-4A9D-9007-1EEEBE1D7846</t>
        </is>
      </c>
    </row>
    <row r="117">
      <c r="A117" s="10" t="n">
        <v>116</v>
      </c>
      <c r="B117" s="11" t="inlineStr">
        <is>
          <t>資誠聯合會計師事務所</t>
        </is>
      </c>
      <c r="C117" s="11" t="inlineStr">
        <is>
          <t>PwC 資誠</t>
        </is>
      </c>
      <c r="D117" s="11" t="inlineStr">
        <is>
          <t>徐建業</t>
        </is>
      </c>
      <c r="E117" s="10" t="inlineStr">
        <is>
          <t>台中分所</t>
        </is>
      </c>
      <c r="F117" s="12" t="inlineStr">
        <is>
          <t>台中市西屯區市政路402號12樓</t>
        </is>
      </c>
      <c r="G117" s="12" t="inlineStr">
        <is>
          <t>台北市信義區基隆路一段333號27樓</t>
        </is>
      </c>
      <c r="H117" s="12" t="inlineStr">
        <is>
          <t>台中市西屯區市政路402號12樓</t>
        </is>
      </c>
      <c r="I117" s="10" t="inlineStr">
        <is>
          <t>105/06/22</t>
        </is>
      </c>
      <c r="J117" s="11" t="inlineStr">
        <is>
          <t>全聯會一字第1050270</t>
        </is>
      </c>
      <c r="K117" s="10" t="inlineStr">
        <is>
          <t>中市</t>
        </is>
      </c>
      <c r="L117" s="10" t="inlineStr">
        <is>
          <t>105/07/19</t>
        </is>
      </c>
      <c r="M117" s="10" t="inlineStr">
        <is>
          <t>911</t>
        </is>
      </c>
      <c r="N117" s="10" t="inlineStr">
        <is>
          <t>2026-06-05</t>
        </is>
      </c>
      <c r="O117" s="11" t="inlineStr">
        <is>
          <t>https://www.roccpa.org.tw/member_search/more?id=1F543B59-0718-4F3B-B660-524682C299D4</t>
        </is>
      </c>
    </row>
    <row r="118">
      <c r="A118" s="10" t="n">
        <v>117</v>
      </c>
      <c r="B118" s="11" t="inlineStr">
        <is>
          <t>資誠聯合會計師事務所</t>
        </is>
      </c>
      <c r="C118" s="11" t="inlineStr">
        <is>
          <t>PwC 資誠</t>
        </is>
      </c>
      <c r="D118" s="11" t="inlineStr">
        <is>
          <t>施松伯</t>
        </is>
      </c>
      <c r="E118" s="10" t="inlineStr">
        <is>
          <t>台中分所</t>
        </is>
      </c>
      <c r="F118" s="12" t="inlineStr">
        <is>
          <t>台中市西屯區市政路402號12樓</t>
        </is>
      </c>
      <c r="G118" s="12" t="inlineStr">
        <is>
          <t>台北市信義區基隆路一段333號27樓</t>
        </is>
      </c>
      <c r="H118" s="12" t="inlineStr">
        <is>
          <t>台中市西屯區市政路402號12樓</t>
        </is>
      </c>
      <c r="I118" s="10" t="inlineStr">
        <is>
          <t>113/07/01</t>
        </is>
      </c>
      <c r="J118" s="11" t="inlineStr">
        <is>
          <t>全聯會一字第1130000312號</t>
        </is>
      </c>
      <c r="K118" s="10" t="inlineStr">
        <is>
          <t>中市</t>
        </is>
      </c>
      <c r="L118" s="10" t="inlineStr">
        <is>
          <t>113/07/01</t>
        </is>
      </c>
      <c r="M118" s="10" t="inlineStr">
        <is>
          <t>1115</t>
        </is>
      </c>
      <c r="N118" s="10" t="inlineStr">
        <is>
          <t>2026-06-05</t>
        </is>
      </c>
      <c r="O118" s="11" t="inlineStr">
        <is>
          <t>https://www.roccpa.org.tw/member_search/more?id=70BEE8C6-E363-44AA-9413-834DCF3B6189</t>
        </is>
      </c>
    </row>
    <row r="119">
      <c r="A119" s="10" t="n">
        <v>118</v>
      </c>
      <c r="B119" s="11" t="inlineStr">
        <is>
          <t>資誠聯合會計師事務所</t>
        </is>
      </c>
      <c r="C119" s="11" t="inlineStr">
        <is>
          <t>PwC 資誠</t>
        </is>
      </c>
      <c r="D119" s="11" t="inlineStr">
        <is>
          <t>李佩璇</t>
        </is>
      </c>
      <c r="E119" s="10" t="inlineStr">
        <is>
          <t>台中分所</t>
        </is>
      </c>
      <c r="F119" s="12" t="inlineStr">
        <is>
          <t>台中市西屯區市政路402號12樓</t>
        </is>
      </c>
      <c r="G119" s="12" t="inlineStr">
        <is>
          <t>台北市信義區基隆路一段333號27樓</t>
        </is>
      </c>
      <c r="H119" s="12" t="inlineStr">
        <is>
          <t>台中市西屯區市政路402號12樓</t>
        </is>
      </c>
      <c r="I119" s="10" t="inlineStr">
        <is>
          <t>099/07/09</t>
        </is>
      </c>
      <c r="J119" s="11" t="inlineStr">
        <is>
          <t>全聯會一字第09900320</t>
        </is>
      </c>
      <c r="K119" s="10" t="inlineStr">
        <is>
          <t>中市</t>
        </is>
      </c>
      <c r="L119" s="10" t="inlineStr">
        <is>
          <t>100/12/23</t>
        </is>
      </c>
      <c r="M119" s="10" t="inlineStr">
        <is>
          <t>262</t>
        </is>
      </c>
      <c r="N119" s="10" t="inlineStr">
        <is>
          <t>2026-06-05</t>
        </is>
      </c>
      <c r="O119" s="11" t="inlineStr">
        <is>
          <t>https://www.roccpa.org.tw/member_search/more?id=91F9384E-725F-4AB1-A465-377964685FBA</t>
        </is>
      </c>
    </row>
    <row r="120">
      <c r="A120" s="10" t="n">
        <v>119</v>
      </c>
      <c r="B120" s="11" t="inlineStr">
        <is>
          <t>資誠聯合會計師事務所</t>
        </is>
      </c>
      <c r="C120" s="11" t="inlineStr">
        <is>
          <t>PwC 資誠</t>
        </is>
      </c>
      <c r="D120" s="11" t="inlineStr">
        <is>
          <t>王玉娟</t>
        </is>
      </c>
      <c r="E120" s="10" t="inlineStr">
        <is>
          <t>台中分所</t>
        </is>
      </c>
      <c r="F120" s="12" t="inlineStr">
        <is>
          <t>台中市西屯區市政路402號12樓</t>
        </is>
      </c>
      <c r="G120" s="12" t="inlineStr">
        <is>
          <t>台北市信義區基隆路一段333號27樓</t>
        </is>
      </c>
      <c r="H120" s="12" t="inlineStr">
        <is>
          <t>台中市西屯區市政路402號12樓</t>
        </is>
      </c>
      <c r="I120" s="10" t="inlineStr">
        <is>
          <t>102/07/04</t>
        </is>
      </c>
      <c r="J120" s="11" t="inlineStr">
        <is>
          <t>全聯會一字第1020257</t>
        </is>
      </c>
      <c r="K120" s="10" t="inlineStr">
        <is>
          <t>中市</t>
        </is>
      </c>
      <c r="L120" s="10" t="inlineStr">
        <is>
          <t>102/07/04</t>
        </is>
      </c>
      <c r="M120" s="10" t="inlineStr">
        <is>
          <t>635</t>
        </is>
      </c>
      <c r="N120" s="10" t="inlineStr">
        <is>
          <t>2026-06-05</t>
        </is>
      </c>
      <c r="O120" s="11" t="inlineStr">
        <is>
          <t>https://www.roccpa.org.tw/member_search/more?id=C93A5255-71CD-423C-B414-46AC93FDAB54</t>
        </is>
      </c>
    </row>
    <row r="121">
      <c r="A121" s="10" t="n">
        <v>120</v>
      </c>
      <c r="B121" s="11" t="inlineStr">
        <is>
          <t>資誠聯合會計師事務所</t>
        </is>
      </c>
      <c r="C121" s="11" t="inlineStr">
        <is>
          <t>PwC 資誠</t>
        </is>
      </c>
      <c r="D121" s="11" t="inlineStr">
        <is>
          <t>賴志維</t>
        </is>
      </c>
      <c r="E121" s="10" t="inlineStr">
        <is>
          <t>台中分所</t>
        </is>
      </c>
      <c r="F121" s="12" t="inlineStr">
        <is>
          <t>台中市西屯區市政路402號12樓</t>
        </is>
      </c>
      <c r="G121" s="12" t="inlineStr">
        <is>
          <t>台北市信義區基隆路一段333號27樓</t>
        </is>
      </c>
      <c r="H121" s="12" t="inlineStr">
        <is>
          <t>台中市西屯區市政路402號12樓</t>
        </is>
      </c>
      <c r="I121" s="10" t="inlineStr">
        <is>
          <t>112/06/15</t>
        </is>
      </c>
      <c r="J121" s="11" t="inlineStr">
        <is>
          <t>全聯會一字第1120241</t>
        </is>
      </c>
      <c r="K121" s="10" t="inlineStr">
        <is>
          <t>中市</t>
        </is>
      </c>
      <c r="L121" s="10" t="inlineStr">
        <is>
          <t>112/06/15</t>
        </is>
      </c>
      <c r="M121" s="10" t="inlineStr">
        <is>
          <t>1089</t>
        </is>
      </c>
      <c r="N121" s="10" t="inlineStr">
        <is>
          <t>2026-06-05</t>
        </is>
      </c>
      <c r="O121" s="11" t="inlineStr">
        <is>
          <t>https://www.roccpa.org.tw/member_search/more?id=EEBA8CF1-C3B8-4ACF-BFC1-2135F61936BF</t>
        </is>
      </c>
    </row>
    <row r="122">
      <c r="A122" s="10" t="n">
        <v>121</v>
      </c>
      <c r="B122" s="11" t="inlineStr">
        <is>
          <t>資誠聯合會計師事務所</t>
        </is>
      </c>
      <c r="C122" s="11" t="inlineStr">
        <is>
          <t>PwC 資誠</t>
        </is>
      </c>
      <c r="D122" s="11" t="inlineStr">
        <is>
          <t>葉芳婷</t>
        </is>
      </c>
      <c r="E122" s="10" t="inlineStr">
        <is>
          <t>台南分所</t>
        </is>
      </c>
      <c r="F122" s="12" t="inlineStr">
        <is>
          <t>台南市新市區南科三路17號2樓之1C室</t>
        </is>
      </c>
      <c r="G122" s="12" t="inlineStr">
        <is>
          <t>台北市信義區基隆路一段333號27樓</t>
        </is>
      </c>
      <c r="H122" s="12" t="inlineStr">
        <is>
          <t>台南市新市區南科三路17號2樓之1C室</t>
        </is>
      </c>
      <c r="I122" s="10" t="inlineStr">
        <is>
          <t>111/07/01</t>
        </is>
      </c>
      <c r="J122" s="11" t="inlineStr">
        <is>
          <t>全聯會一字第1110251</t>
        </is>
      </c>
      <c r="K122" s="10" t="inlineStr">
        <is>
          <t>省</t>
        </is>
      </c>
      <c r="L122" s="10" t="inlineStr">
        <is>
          <t>111/07/01</t>
        </is>
      </c>
      <c r="M122" s="10" t="inlineStr">
        <is>
          <t>4893</t>
        </is>
      </c>
      <c r="N122" s="10" t="inlineStr">
        <is>
          <t>2026-06-05</t>
        </is>
      </c>
      <c r="O122" s="11" t="inlineStr">
        <is>
          <t>https://www.roccpa.org.tw/member_search/more?id=D7661BD8-F928-4F7F-91B3-8D7B405C25E7</t>
        </is>
      </c>
    </row>
    <row r="123">
      <c r="A123" s="10" t="n">
        <v>122</v>
      </c>
      <c r="B123" s="11" t="inlineStr">
        <is>
          <t>資誠聯合會計師事務所</t>
        </is>
      </c>
      <c r="C123" s="11" t="inlineStr">
        <is>
          <t>PwC 資誠</t>
        </is>
      </c>
      <c r="D123" s="11" t="inlineStr">
        <is>
          <t>徐惠榆</t>
        </is>
      </c>
      <c r="E123" s="10" t="inlineStr">
        <is>
          <t>台南分所</t>
        </is>
      </c>
      <c r="F123" s="12" t="inlineStr">
        <is>
          <t>台南市東區林森路一段395號12樓</t>
        </is>
      </c>
      <c r="G123" s="12" t="inlineStr">
        <is>
          <t>台北市信義區基隆路一段333號27樓</t>
        </is>
      </c>
      <c r="H123" s="12" t="inlineStr">
        <is>
          <t>台南市東區林森路一段395號12樓</t>
        </is>
      </c>
      <c r="I123" s="10" t="inlineStr">
        <is>
          <t>112/06/15</t>
        </is>
      </c>
      <c r="J123" s="11" t="inlineStr">
        <is>
          <t>全聯會一字第1120232</t>
        </is>
      </c>
      <c r="K123" s="10" t="inlineStr">
        <is>
          <t>省</t>
        </is>
      </c>
      <c r="L123" s="10" t="inlineStr">
        <is>
          <t>112/06/15</t>
        </is>
      </c>
      <c r="M123" s="10" t="inlineStr">
        <is>
          <t>4979</t>
        </is>
      </c>
      <c r="N123" s="10" t="inlineStr">
        <is>
          <t>2026-06-05</t>
        </is>
      </c>
      <c r="O123" s="11" t="inlineStr">
        <is>
          <t>https://www.roccpa.org.tw/member_search/more?id=BD5A382B-C934-46AD-9B0E-B0FF3139E9BC</t>
        </is>
      </c>
    </row>
    <row r="124">
      <c r="A124" s="10" t="n">
        <v>123</v>
      </c>
      <c r="B124" s="11" t="inlineStr">
        <is>
          <t>資誠聯合會計師事務所</t>
        </is>
      </c>
      <c r="C124" s="11" t="inlineStr">
        <is>
          <t>PwC 資誠</t>
        </is>
      </c>
      <c r="D124" s="11" t="inlineStr">
        <is>
          <t>李蕙華</t>
        </is>
      </c>
      <c r="E124" s="10" t="inlineStr">
        <is>
          <t>台南分所</t>
        </is>
      </c>
      <c r="F124" s="12" t="inlineStr">
        <is>
          <t>台南市東區林森路一段395號12樓</t>
        </is>
      </c>
      <c r="G124" s="12" t="inlineStr">
        <is>
          <t>台北市信義區基隆路一段333號27樓</t>
        </is>
      </c>
      <c r="H124" s="12" t="inlineStr">
        <is>
          <t>台南市東區林森路一段395號12樓</t>
        </is>
      </c>
      <c r="I124" s="10" t="inlineStr">
        <is>
          <t>115/07/01</t>
        </is>
      </c>
      <c r="J124" s="11" t="inlineStr">
        <is>
          <t>全聯會一字第1150000322號</t>
        </is>
      </c>
      <c r="K124" s="10" t="inlineStr">
        <is>
          <t>省</t>
        </is>
      </c>
      <c r="L124" s="10" t="inlineStr">
        <is>
          <t>115/07/01</t>
        </is>
      </c>
      <c r="M124" s="10" t="inlineStr">
        <is>
          <t>5409</t>
        </is>
      </c>
      <c r="N124" s="10" t="inlineStr">
        <is>
          <t>2026-07-06</t>
        </is>
      </c>
      <c r="O124" s="11" t="inlineStr">
        <is>
          <t>https://www.roccpa.org.tw/member_search/more?id=192854c0b6144efd894972180f72a4bd</t>
        </is>
      </c>
    </row>
    <row r="125">
      <c r="A125" s="10" t="n">
        <v>124</v>
      </c>
      <c r="B125" s="11" t="inlineStr">
        <is>
          <t>資誠聯合會計師事務所</t>
        </is>
      </c>
      <c r="C125" s="11" t="inlineStr">
        <is>
          <t>PwC 資誠</t>
        </is>
      </c>
      <c r="D125" s="11" t="inlineStr">
        <is>
          <t>田中玉</t>
        </is>
      </c>
      <c r="E125" s="10" t="inlineStr">
        <is>
          <t>台南分所</t>
        </is>
      </c>
      <c r="F125" s="12" t="inlineStr">
        <is>
          <t>台南市東區林森路一段395號12樓</t>
        </is>
      </c>
      <c r="G125" s="12" t="inlineStr">
        <is>
          <t>台北市信義區基隆路一段333號27樓</t>
        </is>
      </c>
      <c r="H125" s="12" t="inlineStr">
        <is>
          <t>台南市東區林森路一段395號12樓</t>
        </is>
      </c>
      <c r="I125" s="10" t="inlineStr">
        <is>
          <t>107/06/01</t>
        </is>
      </c>
      <c r="J125" s="11" t="inlineStr">
        <is>
          <t>全聯會一字第1070224</t>
        </is>
      </c>
      <c r="K125" s="10" t="inlineStr">
        <is>
          <t>省</t>
        </is>
      </c>
      <c r="L125" s="10" t="inlineStr">
        <is>
          <t>107/06/01</t>
        </is>
      </c>
      <c r="M125" s="10" t="inlineStr">
        <is>
          <t>4637</t>
        </is>
      </c>
      <c r="N125" s="10" t="inlineStr">
        <is>
          <t>2026-06-05</t>
        </is>
      </c>
      <c r="O125" s="11" t="inlineStr">
        <is>
          <t>https://www.roccpa.org.tw/member_search/more?id=0E36C662-A921-4A8A-A520-7A92C3B91E7E</t>
        </is>
      </c>
    </row>
    <row r="126">
      <c r="A126" s="10" t="n">
        <v>125</v>
      </c>
      <c r="B126" s="11" t="inlineStr">
        <is>
          <t>資誠聯合會計師事務所</t>
        </is>
      </c>
      <c r="C126" s="11" t="inlineStr">
        <is>
          <t>PwC 資誠</t>
        </is>
      </c>
      <c r="D126" s="11" t="inlineStr">
        <is>
          <t>林秀珊</t>
        </is>
      </c>
      <c r="E126" s="10" t="inlineStr">
        <is>
          <t>高雄分所</t>
        </is>
      </c>
      <c r="F126" s="12" t="inlineStr">
        <is>
          <t>高雄市新興區民族二路95號22樓</t>
        </is>
      </c>
      <c r="G126" s="12" t="inlineStr">
        <is>
          <t>台北市信義區基隆路一段333號27樓</t>
        </is>
      </c>
      <c r="H126" s="12" t="inlineStr">
        <is>
          <t>高雄市新興區民族二路95號22樓</t>
        </is>
      </c>
      <c r="I126" s="10" t="inlineStr">
        <is>
          <t>114/07/01</t>
        </is>
      </c>
      <c r="J126" s="11" t="inlineStr">
        <is>
          <t>全聯會一字第1140000272號</t>
        </is>
      </c>
      <c r="K126" s="10" t="inlineStr">
        <is>
          <t>高市</t>
        </is>
      </c>
      <c r="L126" s="10" t="inlineStr">
        <is>
          <t>114/07/01</t>
        </is>
      </c>
      <c r="M126" s="10" t="inlineStr">
        <is>
          <t>1163</t>
        </is>
      </c>
      <c r="N126" s="10" t="inlineStr">
        <is>
          <t>2026-06-05</t>
        </is>
      </c>
      <c r="O126" s="11" t="inlineStr">
        <is>
          <t>https://www.roccpa.org.tw/member_search/more?id=1D3EB595-4109-42D6-9A0E-9F7EC41D6613</t>
        </is>
      </c>
    </row>
    <row r="127">
      <c r="A127" s="10" t="n">
        <v>126</v>
      </c>
      <c r="B127" s="11" t="inlineStr">
        <is>
          <t>資誠聯合會計師事務所</t>
        </is>
      </c>
      <c r="C127" s="11" t="inlineStr">
        <is>
          <t>PwC 資誠</t>
        </is>
      </c>
      <c r="D127" s="11" t="inlineStr">
        <is>
          <t>王駿凱</t>
        </is>
      </c>
      <c r="E127" s="10" t="inlineStr">
        <is>
          <t>高雄分所</t>
        </is>
      </c>
      <c r="F127" s="12" t="inlineStr">
        <is>
          <t>高雄市新興區民族二路95號22樓</t>
        </is>
      </c>
      <c r="G127" s="12" t="inlineStr">
        <is>
          <t>台北市信義區基隆路一段333號27樓</t>
        </is>
      </c>
      <c r="H127" s="12" t="inlineStr">
        <is>
          <t>高雄市新興區民族二路95號22樓</t>
        </is>
      </c>
      <c r="I127" s="10" t="inlineStr">
        <is>
          <t>111/07/01</t>
        </is>
      </c>
      <c r="J127" s="11" t="inlineStr">
        <is>
          <t>全聯會一字第1110260</t>
        </is>
      </c>
      <c r="K127" s="10" t="inlineStr">
        <is>
          <t>高市</t>
        </is>
      </c>
      <c r="L127" s="10" t="inlineStr">
        <is>
          <t>111/07/01</t>
        </is>
      </c>
      <c r="M127" s="10" t="inlineStr">
        <is>
          <t>1093</t>
        </is>
      </c>
      <c r="N127" s="10" t="inlineStr">
        <is>
          <t>2026-06-05</t>
        </is>
      </c>
      <c r="O127" s="11" t="inlineStr">
        <is>
          <t>https://www.roccpa.org.tw/member_search/more?id=32D11EDF-EB07-46BF-A0FE-3FAE87539D39</t>
        </is>
      </c>
    </row>
    <row r="128">
      <c r="A128" s="10" t="n">
        <v>127</v>
      </c>
      <c r="B128" s="11" t="inlineStr">
        <is>
          <t>資誠聯合會計師事務所</t>
        </is>
      </c>
      <c r="C128" s="11" t="inlineStr">
        <is>
          <t>PwC 資誠</t>
        </is>
      </c>
      <c r="D128" s="11" t="inlineStr">
        <is>
          <t>陳筱娟</t>
        </is>
      </c>
      <c r="E128" s="10" t="inlineStr">
        <is>
          <t>高雄分所</t>
        </is>
      </c>
      <c r="F128" s="12" t="inlineStr">
        <is>
          <t>高雄市新興區民族二路95號22樓</t>
        </is>
      </c>
      <c r="G128" s="12" t="inlineStr">
        <is>
          <t>台北市信義區基隆路一段333號27樓</t>
        </is>
      </c>
      <c r="H128" s="12" t="inlineStr">
        <is>
          <t>高雄市新興區民族二路95號22樓</t>
        </is>
      </c>
      <c r="I128" s="10" t="inlineStr">
        <is>
          <t>108/07/01</t>
        </is>
      </c>
      <c r="J128" s="11" t="inlineStr">
        <is>
          <t>全聯會一字第1080242</t>
        </is>
      </c>
      <c r="K128" s="10" t="inlineStr">
        <is>
          <t>高市</t>
        </is>
      </c>
      <c r="L128" s="10" t="inlineStr">
        <is>
          <t>108/07/01</t>
        </is>
      </c>
      <c r="M128" s="10" t="inlineStr">
        <is>
          <t>1048</t>
        </is>
      </c>
      <c r="N128" s="10" t="inlineStr">
        <is>
          <t>2026-06-05</t>
        </is>
      </c>
      <c r="O128" s="11" t="inlineStr">
        <is>
          <t>https://www.roccpa.org.tw/member_search/more?id=AAE82782-3AF0-43F5-8A56-6BE46283FA27</t>
        </is>
      </c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2" customWidth="1" min="4" max="4"/>
    <col width="11" customWidth="1" min="5" max="5"/>
    <col width="40" customWidth="1" min="6" max="6"/>
    <col width="32" customWidth="1" min="7" max="7"/>
    <col width="32" customWidth="1" min="8" max="8"/>
    <col width="14" customWidth="1" min="9" max="9"/>
    <col width="26" customWidth="1" min="10" max="10"/>
    <col width="10" customWidth="1" min="11" max="11"/>
    <col width="12" customWidth="1" min="12" max="12"/>
    <col width="10" customWidth="1" min="13" max="13"/>
    <col width="15" customWidth="1" min="14" max="14"/>
    <col width="60" customWidth="1" min="15" max="15"/>
  </cols>
  <sheetData>
    <row r="1" ht="22" customHeight="1">
      <c r="A1" s="3" t="inlineStr">
        <is>
          <t>序號</t>
        </is>
      </c>
      <c r="B1" s="3" t="inlineStr">
        <is>
          <t>事務所名稱</t>
        </is>
      </c>
      <c r="C1" s="3" t="inlineStr">
        <is>
          <t>國際品牌</t>
        </is>
      </c>
      <c r="D1" s="3" t="inlineStr">
        <is>
          <t>會計師姓名</t>
        </is>
      </c>
      <c r="E1" s="3" t="inlineStr">
        <is>
          <t>所屬分所</t>
        </is>
      </c>
      <c r="F1" s="3" t="inlineStr">
        <is>
          <t>辦公室地址</t>
        </is>
      </c>
      <c r="G1" s="3" t="inlineStr">
        <is>
          <t>主事務所地址</t>
        </is>
      </c>
      <c r="H1" s="3" t="inlineStr">
        <is>
          <t>分事務所地址</t>
        </is>
      </c>
      <c r="I1" s="3" t="inlineStr">
        <is>
          <t>執業登記日期</t>
        </is>
      </c>
      <c r="J1" s="3" t="inlineStr">
        <is>
          <t>執業登記文號</t>
        </is>
      </c>
      <c r="K1" s="3" t="inlineStr">
        <is>
          <t>所屬公會</t>
        </is>
      </c>
      <c r="L1" s="3" t="inlineStr">
        <is>
          <t>入會日期</t>
        </is>
      </c>
      <c r="M1" s="3" t="inlineStr">
        <is>
          <t>會籍編號</t>
        </is>
      </c>
      <c r="N1" s="3" t="inlineStr">
        <is>
          <t>資料最後更新日</t>
        </is>
      </c>
      <c r="O1" s="3" t="inlineStr">
        <is>
          <t>明細連結</t>
        </is>
      </c>
    </row>
    <row r="2">
      <c r="A2" s="10" t="n">
        <v>1</v>
      </c>
      <c r="B2" s="11" t="inlineStr">
        <is>
          <t>安侯建業聯合會計師事務所</t>
        </is>
      </c>
      <c r="C2" s="11" t="inlineStr">
        <is>
          <t>KPMG 安侯建業</t>
        </is>
      </c>
      <c r="D2" s="11" t="inlineStr">
        <is>
          <t>丁傳倫</t>
        </is>
      </c>
      <c r="E2" s="10" t="inlineStr">
        <is>
          <t>台北總所</t>
        </is>
      </c>
      <c r="F2" s="12" t="inlineStr">
        <is>
          <t>台北市信義區信義路五段7號68樓</t>
        </is>
      </c>
      <c r="G2" s="12" t="inlineStr">
        <is>
          <t>台北市信義區信義路五段7號68樓</t>
        </is>
      </c>
      <c r="H2" s="12" t="inlineStr"/>
      <c r="I2" s="10" t="inlineStr">
        <is>
          <t>109/07/06</t>
        </is>
      </c>
      <c r="J2" s="11" t="inlineStr">
        <is>
          <t>全聯會一字第1090245</t>
        </is>
      </c>
      <c r="K2" s="10" t="inlineStr">
        <is>
          <t>北市</t>
        </is>
      </c>
      <c r="L2" s="10" t="inlineStr">
        <is>
          <t>109/07/06</t>
        </is>
      </c>
      <c r="M2" s="10" t="inlineStr">
        <is>
          <t>4266</t>
        </is>
      </c>
      <c r="N2" s="10" t="inlineStr">
        <is>
          <t>2026-06-05</t>
        </is>
      </c>
      <c r="O2" s="11" t="inlineStr">
        <is>
          <t>https://www.roccpa.org.tw/member_search/more?id=642B1E83-21FD-475C-9EE6-5DF3BF9A9D20</t>
        </is>
      </c>
    </row>
    <row r="3">
      <c r="A3" s="10" t="n">
        <v>2</v>
      </c>
      <c r="B3" s="11" t="inlineStr">
        <is>
          <t>安侯建業聯合會計師事務所</t>
        </is>
      </c>
      <c r="C3" s="11" t="inlineStr">
        <is>
          <t>KPMG 安侯建業</t>
        </is>
      </c>
      <c r="D3" s="11" t="inlineStr">
        <is>
          <t>丁英泰</t>
        </is>
      </c>
      <c r="E3" s="10" t="inlineStr">
        <is>
          <t>台北總所</t>
        </is>
      </c>
      <c r="F3" s="12" t="inlineStr">
        <is>
          <t>台北市信義區信義路五段7號68樓</t>
        </is>
      </c>
      <c r="G3" s="12" t="inlineStr">
        <is>
          <t>台北市信義區信義路五段7號68樓</t>
        </is>
      </c>
      <c r="H3" s="12" t="inlineStr"/>
      <c r="I3" s="10" t="inlineStr">
        <is>
          <t>112/06/13</t>
        </is>
      </c>
      <c r="J3" s="11" t="inlineStr">
        <is>
          <t>全聯會一字第1120228</t>
        </is>
      </c>
      <c r="K3" s="10" t="inlineStr">
        <is>
          <t>北市</t>
        </is>
      </c>
      <c r="L3" s="10" t="inlineStr">
        <is>
          <t>112/06/13</t>
        </is>
      </c>
      <c r="M3" s="10" t="inlineStr">
        <is>
          <t>4532</t>
        </is>
      </c>
      <c r="N3" s="10" t="inlineStr">
        <is>
          <t>2026-06-05</t>
        </is>
      </c>
      <c r="O3" s="11" t="inlineStr">
        <is>
          <t>https://www.roccpa.org.tw/member_search/more?id=308A9B30-02D0-46CC-ABBB-5A056AB2BB57</t>
        </is>
      </c>
    </row>
    <row r="4">
      <c r="A4" s="10" t="n">
        <v>3</v>
      </c>
      <c r="B4" s="11" t="inlineStr">
        <is>
          <t>安侯建業聯合會計師事務所</t>
        </is>
      </c>
      <c r="C4" s="11" t="inlineStr">
        <is>
          <t>KPMG 安侯建業</t>
        </is>
      </c>
      <c r="D4" s="11" t="inlineStr">
        <is>
          <t>于紀隆</t>
        </is>
      </c>
      <c r="E4" s="10" t="inlineStr">
        <is>
          <t>台北總所</t>
        </is>
      </c>
      <c r="F4" s="12" t="inlineStr">
        <is>
          <t>台北市信義區信義路五段7號68樓</t>
        </is>
      </c>
      <c r="G4" s="12" t="inlineStr">
        <is>
          <t>台北市信義區信義路五段7號68樓</t>
        </is>
      </c>
      <c r="H4" s="12" t="inlineStr"/>
      <c r="I4" s="10" t="inlineStr"/>
      <c r="J4" s="11" t="inlineStr"/>
      <c r="K4" s="10" t="inlineStr">
        <is>
          <t>北市</t>
        </is>
      </c>
      <c r="L4" s="10" t="inlineStr">
        <is>
          <t>090/09/21</t>
        </is>
      </c>
      <c r="M4" s="10" t="inlineStr">
        <is>
          <t>2393</t>
        </is>
      </c>
      <c r="N4" s="10" t="inlineStr">
        <is>
          <t>2026-06-05</t>
        </is>
      </c>
      <c r="O4" s="11" t="inlineStr">
        <is>
          <t>https://www.roccpa.org.tw/member_search/more?id=16C39D64-7A70-4121-AB16-3C76D8643D71</t>
        </is>
      </c>
    </row>
    <row r="5">
      <c r="A5" s="10" t="n">
        <v>4</v>
      </c>
      <c r="B5" s="11" t="inlineStr">
        <is>
          <t>安侯建業聯合會計師事務所</t>
        </is>
      </c>
      <c r="C5" s="11" t="inlineStr">
        <is>
          <t>KPMG 安侯建業</t>
        </is>
      </c>
      <c r="D5" s="11" t="inlineStr">
        <is>
          <t>余聖河</t>
        </is>
      </c>
      <c r="E5" s="10" t="inlineStr">
        <is>
          <t>台北總所</t>
        </is>
      </c>
      <c r="F5" s="12" t="inlineStr">
        <is>
          <t>台北市信義區信義路五段7號68樓</t>
        </is>
      </c>
      <c r="G5" s="12" t="inlineStr">
        <is>
          <t>台北市信義區信義路五段7號68樓</t>
        </is>
      </c>
      <c r="H5" s="12" t="inlineStr"/>
      <c r="I5" s="10" t="inlineStr">
        <is>
          <t>101/01/19</t>
        </is>
      </c>
      <c r="J5" s="11" t="inlineStr">
        <is>
          <t>全聯會一字第1010021</t>
        </is>
      </c>
      <c r="K5" s="10" t="inlineStr">
        <is>
          <t>北市</t>
        </is>
      </c>
      <c r="L5" s="10" t="inlineStr">
        <is>
          <t>101/02/06</t>
        </is>
      </c>
      <c r="M5" s="10" t="inlineStr">
        <is>
          <t>3420</t>
        </is>
      </c>
      <c r="N5" s="10" t="inlineStr">
        <is>
          <t>2026-06-05</t>
        </is>
      </c>
      <c r="O5" s="11" t="inlineStr">
        <is>
          <t>https://www.roccpa.org.tw/member_search/more?id=9FA798CA-9F29-41F1-A34B-00AE0F82EC55</t>
        </is>
      </c>
    </row>
    <row r="6">
      <c r="A6" s="10" t="n">
        <v>5</v>
      </c>
      <c r="B6" s="11" t="inlineStr">
        <is>
          <t>安侯建業聯合會計師事務所</t>
        </is>
      </c>
      <c r="C6" s="11" t="inlineStr">
        <is>
          <t>KPMG 安侯建業</t>
        </is>
      </c>
      <c r="D6" s="11" t="inlineStr">
        <is>
          <t>傅泓文</t>
        </is>
      </c>
      <c r="E6" s="10" t="inlineStr">
        <is>
          <t>台北總所</t>
        </is>
      </c>
      <c r="F6" s="12" t="inlineStr">
        <is>
          <t>台北市信義區信義路五段7號68樓</t>
        </is>
      </c>
      <c r="G6" s="12" t="inlineStr">
        <is>
          <t>台北市信義區信義路五段7號68樓</t>
        </is>
      </c>
      <c r="H6" s="12" t="inlineStr"/>
      <c r="I6" s="10" t="inlineStr">
        <is>
          <t>109/01/31</t>
        </is>
      </c>
      <c r="J6" s="11" t="inlineStr">
        <is>
          <t>全聯會一字第1090040</t>
        </is>
      </c>
      <c r="K6" s="10" t="inlineStr">
        <is>
          <t>北市</t>
        </is>
      </c>
      <c r="L6" s="10" t="inlineStr">
        <is>
          <t>109/01/31</t>
        </is>
      </c>
      <c r="M6" s="10" t="inlineStr">
        <is>
          <t>4216</t>
        </is>
      </c>
      <c r="N6" s="10" t="inlineStr">
        <is>
          <t>2026-06-05</t>
        </is>
      </c>
      <c r="O6" s="11" t="inlineStr">
        <is>
          <t>https://www.roccpa.org.tw/member_search/more?id=89F78F06-502F-4D77-A9F2-BBA1D42859B8</t>
        </is>
      </c>
    </row>
    <row r="7">
      <c r="A7" s="10" t="n">
        <v>6</v>
      </c>
      <c r="B7" s="11" t="inlineStr">
        <is>
          <t>安侯建業聯合會計師事務所</t>
        </is>
      </c>
      <c r="C7" s="11" t="inlineStr">
        <is>
          <t>KPMG 安侯建業</t>
        </is>
      </c>
      <c r="D7" s="11" t="inlineStr">
        <is>
          <t>劉中惠</t>
        </is>
      </c>
      <c r="E7" s="10" t="inlineStr">
        <is>
          <t>台北總所</t>
        </is>
      </c>
      <c r="F7" s="12" t="inlineStr">
        <is>
          <t>台北市信義區信義路五段7號68樓</t>
        </is>
      </c>
      <c r="G7" s="12" t="inlineStr">
        <is>
          <t>台北市信義區信義路五段7號68樓</t>
        </is>
      </c>
      <c r="H7" s="12" t="inlineStr"/>
      <c r="I7" s="10" t="inlineStr">
        <is>
          <t>109/07/06</t>
        </is>
      </c>
      <c r="J7" s="11" t="inlineStr">
        <is>
          <t>全聯會一字第1090244</t>
        </is>
      </c>
      <c r="K7" s="10" t="inlineStr">
        <is>
          <t>北市</t>
        </is>
      </c>
      <c r="L7" s="10" t="inlineStr">
        <is>
          <t>109/07/06</t>
        </is>
      </c>
      <c r="M7" s="10" t="inlineStr">
        <is>
          <t>4265</t>
        </is>
      </c>
      <c r="N7" s="10" t="inlineStr">
        <is>
          <t>2026-06-05</t>
        </is>
      </c>
      <c r="O7" s="11" t="inlineStr">
        <is>
          <t>https://www.roccpa.org.tw/member_search/more?id=DFF78DE1-3174-4A2D-98FE-10F16968DC4E</t>
        </is>
      </c>
    </row>
    <row r="8">
      <c r="A8" s="10" t="n">
        <v>7</v>
      </c>
      <c r="B8" s="11" t="inlineStr">
        <is>
          <t>安侯建業聯合會計師事務所</t>
        </is>
      </c>
      <c r="C8" s="11" t="inlineStr">
        <is>
          <t>KPMG 安侯建業</t>
        </is>
      </c>
      <c r="D8" s="11" t="inlineStr">
        <is>
          <t>劉振興</t>
        </is>
      </c>
      <c r="E8" s="10" t="inlineStr">
        <is>
          <t>台北總所</t>
        </is>
      </c>
      <c r="F8" s="12" t="inlineStr">
        <is>
          <t>台北市信義區信義路五段7號68樓</t>
        </is>
      </c>
      <c r="G8" s="12" t="inlineStr">
        <is>
          <t>台北市信義區信義路五段7號68樓</t>
        </is>
      </c>
      <c r="H8" s="12" t="inlineStr"/>
      <c r="I8" s="10" t="inlineStr">
        <is>
          <t>114/10/03</t>
        </is>
      </c>
      <c r="J8" s="11" t="inlineStr">
        <is>
          <t>全聯會一字第1140000490號</t>
        </is>
      </c>
      <c r="K8" s="10" t="inlineStr">
        <is>
          <t>北市</t>
        </is>
      </c>
      <c r="L8" s="10" t="inlineStr">
        <is>
          <t>114/10/03</t>
        </is>
      </c>
      <c r="M8" s="10" t="inlineStr">
        <is>
          <t>4846</t>
        </is>
      </c>
      <c r="N8" s="10" t="inlineStr">
        <is>
          <t>2026-06-05</t>
        </is>
      </c>
      <c r="O8" s="11" t="inlineStr">
        <is>
          <t>https://www.roccpa.org.tw/member_search/more?id=858CD947-7F36-4FEC-96D9-31D83404C331</t>
        </is>
      </c>
    </row>
    <row r="9">
      <c r="A9" s="10" t="n">
        <v>8</v>
      </c>
      <c r="B9" s="11" t="inlineStr">
        <is>
          <t>安侯建業聯合會計師事務所</t>
        </is>
      </c>
      <c r="C9" s="11" t="inlineStr">
        <is>
          <t>KPMG 安侯建業</t>
        </is>
      </c>
      <c r="D9" s="11" t="inlineStr">
        <is>
          <t>區耀軍</t>
        </is>
      </c>
      <c r="E9" s="10" t="inlineStr">
        <is>
          <t>台北總所</t>
        </is>
      </c>
      <c r="F9" s="12" t="inlineStr">
        <is>
          <t>台北市信義區信義路五段7號68樓</t>
        </is>
      </c>
      <c r="G9" s="12" t="inlineStr">
        <is>
          <t>台北市信義區信義路五段7號68樓</t>
        </is>
      </c>
      <c r="H9" s="12" t="inlineStr"/>
      <c r="I9" s="10" t="inlineStr"/>
      <c r="J9" s="11" t="inlineStr"/>
      <c r="K9" s="10" t="inlineStr">
        <is>
          <t>北市</t>
        </is>
      </c>
      <c r="L9" s="10" t="inlineStr">
        <is>
          <t>093/01/05</t>
        </is>
      </c>
      <c r="M9" s="10" t="inlineStr">
        <is>
          <t>2613</t>
        </is>
      </c>
      <c r="N9" s="10" t="inlineStr">
        <is>
          <t>2026-06-05</t>
        </is>
      </c>
      <c r="O9" s="11" t="inlineStr">
        <is>
          <t>https://www.roccpa.org.tw/member_search/more?id=1552092C-6E6D-4789-8C3C-7E469B4819A3</t>
        </is>
      </c>
    </row>
    <row r="10">
      <c r="A10" s="10" t="n">
        <v>9</v>
      </c>
      <c r="B10" s="11" t="inlineStr">
        <is>
          <t>安侯建業聯合會計師事務所</t>
        </is>
      </c>
      <c r="C10" s="11" t="inlineStr">
        <is>
          <t>KPMG 安侯建業</t>
        </is>
      </c>
      <c r="D10" s="11" t="inlineStr">
        <is>
          <t>吳仲舜</t>
        </is>
      </c>
      <c r="E10" s="10" t="inlineStr">
        <is>
          <t>台北總所</t>
        </is>
      </c>
      <c r="F10" s="12" t="inlineStr">
        <is>
          <t>台北市信義區信義路五段7號68樓</t>
        </is>
      </c>
      <c r="G10" s="12" t="inlineStr">
        <is>
          <t>台北市信義區信義路五段7號68樓</t>
        </is>
      </c>
      <c r="H10" s="12" t="inlineStr"/>
      <c r="I10" s="10" t="inlineStr">
        <is>
          <t>109/01/31</t>
        </is>
      </c>
      <c r="J10" s="11" t="inlineStr">
        <is>
          <t>全聯會一字第1090041</t>
        </is>
      </c>
      <c r="K10" s="10" t="inlineStr">
        <is>
          <t>北市</t>
        </is>
      </c>
      <c r="L10" s="10" t="inlineStr">
        <is>
          <t>109/01/31</t>
        </is>
      </c>
      <c r="M10" s="10" t="inlineStr">
        <is>
          <t>4217</t>
        </is>
      </c>
      <c r="N10" s="10" t="inlineStr">
        <is>
          <t>2026-06-05</t>
        </is>
      </c>
      <c r="O10" s="11" t="inlineStr">
        <is>
          <t>https://www.roccpa.org.tw/member_search/more?id=B0D476AC-B902-4AF6-82A7-363985E3DA22</t>
        </is>
      </c>
    </row>
    <row r="11">
      <c r="A11" s="10" t="n">
        <v>10</v>
      </c>
      <c r="B11" s="11" t="inlineStr">
        <is>
          <t>安侯建業聯合會計師事務所</t>
        </is>
      </c>
      <c r="C11" s="11" t="inlineStr">
        <is>
          <t>KPMG 安侯建業</t>
        </is>
      </c>
      <c r="D11" s="11" t="inlineStr">
        <is>
          <t>吳佳翰</t>
        </is>
      </c>
      <c r="E11" s="10" t="inlineStr">
        <is>
          <t>台北總所</t>
        </is>
      </c>
      <c r="F11" s="12" t="inlineStr">
        <is>
          <t>台北市信義區信義路五段7號68樓</t>
        </is>
      </c>
      <c r="G11" s="12" t="inlineStr">
        <is>
          <t>台北市信義區信義路五段7號68樓</t>
        </is>
      </c>
      <c r="H11" s="12" t="inlineStr"/>
      <c r="I11" s="10" t="inlineStr">
        <is>
          <t>113/01/15</t>
        </is>
      </c>
      <c r="J11" s="11" t="inlineStr">
        <is>
          <t>全聯會一字第1130000028號</t>
        </is>
      </c>
      <c r="K11" s="10" t="inlineStr">
        <is>
          <t>北市</t>
        </is>
      </c>
      <c r="L11" s="10" t="inlineStr">
        <is>
          <t>113/01/15</t>
        </is>
      </c>
      <c r="M11" s="10" t="inlineStr">
        <is>
          <t>4591</t>
        </is>
      </c>
      <c r="N11" s="10" t="inlineStr">
        <is>
          <t>2026-06-05</t>
        </is>
      </c>
      <c r="O11" s="11" t="inlineStr">
        <is>
          <t>https://www.roccpa.org.tw/member_search/more?id=92522745-0A6B-4751-B1CB-8A4395064547</t>
        </is>
      </c>
    </row>
    <row r="12">
      <c r="A12" s="10" t="n">
        <v>11</v>
      </c>
      <c r="B12" s="11" t="inlineStr">
        <is>
          <t>安侯建業聯合會計師事務所</t>
        </is>
      </c>
      <c r="C12" s="11" t="inlineStr">
        <is>
          <t>KPMG 安侯建業</t>
        </is>
      </c>
      <c r="D12" s="11" t="inlineStr">
        <is>
          <t>吳政諺</t>
        </is>
      </c>
      <c r="E12" s="10" t="inlineStr">
        <is>
          <t>台北總所</t>
        </is>
      </c>
      <c r="F12" s="12" t="inlineStr">
        <is>
          <t>台北市信義區信義路五段7號68樓</t>
        </is>
      </c>
      <c r="G12" s="12" t="inlineStr">
        <is>
          <t>台北市信義區信義路五段7號68樓</t>
        </is>
      </c>
      <c r="H12" s="12" t="inlineStr"/>
      <c r="I12" s="10" t="inlineStr">
        <is>
          <t>106/10/06</t>
        </is>
      </c>
      <c r="J12" s="11" t="inlineStr">
        <is>
          <t>全聯會一字第1060358</t>
        </is>
      </c>
      <c r="K12" s="10" t="inlineStr">
        <is>
          <t>北市</t>
        </is>
      </c>
      <c r="L12" s="10" t="inlineStr">
        <is>
          <t>106/10/06</t>
        </is>
      </c>
      <c r="M12" s="10" t="inlineStr">
        <is>
          <t>4044</t>
        </is>
      </c>
      <c r="N12" s="10" t="inlineStr">
        <is>
          <t>2026-06-05</t>
        </is>
      </c>
      <c r="O12" s="11" t="inlineStr">
        <is>
          <t>https://www.roccpa.org.tw/member_search/more?id=D1F389ED-187E-474C-92E8-FB5254C9F27B</t>
        </is>
      </c>
    </row>
    <row r="13">
      <c r="A13" s="10" t="n">
        <v>12</v>
      </c>
      <c r="B13" s="11" t="inlineStr">
        <is>
          <t>安侯建業聯合會計師事務所</t>
        </is>
      </c>
      <c r="C13" s="11" t="inlineStr">
        <is>
          <t>KPMG 安侯建業</t>
        </is>
      </c>
      <c r="D13" s="11" t="inlineStr">
        <is>
          <t>吳祁達</t>
        </is>
      </c>
      <c r="E13" s="10" t="inlineStr">
        <is>
          <t>台北總所</t>
        </is>
      </c>
      <c r="F13" s="12" t="inlineStr">
        <is>
          <t>台北市信義區信義路五段7號68樓</t>
        </is>
      </c>
      <c r="G13" s="12" t="inlineStr">
        <is>
          <t>台北市信義區信義路五段7號68樓</t>
        </is>
      </c>
      <c r="H13" s="12" t="inlineStr"/>
      <c r="I13" s="10" t="inlineStr">
        <is>
          <t>114/10/03</t>
        </is>
      </c>
      <c r="J13" s="11" t="inlineStr">
        <is>
          <t>全聯會一字第1140000488號</t>
        </is>
      </c>
      <c r="K13" s="10" t="inlineStr">
        <is>
          <t>北市</t>
        </is>
      </c>
      <c r="L13" s="10" t="inlineStr">
        <is>
          <t>114/10/03</t>
        </is>
      </c>
      <c r="M13" s="10" t="inlineStr">
        <is>
          <t>4844</t>
        </is>
      </c>
      <c r="N13" s="10" t="inlineStr">
        <is>
          <t>2026-06-05</t>
        </is>
      </c>
      <c r="O13" s="11" t="inlineStr">
        <is>
          <t>https://www.roccpa.org.tw/member_search/more?id=ED306F82-CB10-4FF2-9B80-8CF17B04CF90</t>
        </is>
      </c>
    </row>
    <row r="14">
      <c r="A14" s="10" t="n">
        <v>13</v>
      </c>
      <c r="B14" s="11" t="inlineStr">
        <is>
          <t>安侯建業聯合會計師事務所</t>
        </is>
      </c>
      <c r="C14" s="11" t="inlineStr">
        <is>
          <t>KPMG 安侯建業</t>
        </is>
      </c>
      <c r="D14" s="11" t="inlineStr">
        <is>
          <t>吳趙仁</t>
        </is>
      </c>
      <c r="E14" s="10" t="inlineStr">
        <is>
          <t>台北總所</t>
        </is>
      </c>
      <c r="F14" s="12" t="inlineStr">
        <is>
          <t>台北市信義區信義路五段7號68樓</t>
        </is>
      </c>
      <c r="G14" s="12" t="inlineStr">
        <is>
          <t>台北市信義區信義路五段7號68樓</t>
        </is>
      </c>
      <c r="H14" s="12" t="inlineStr"/>
      <c r="I14" s="10" t="inlineStr">
        <is>
          <t>107/02/05</t>
        </is>
      </c>
      <c r="J14" s="11" t="inlineStr">
        <is>
          <t>全聯會一字第1070074</t>
        </is>
      </c>
      <c r="K14" s="10" t="inlineStr">
        <is>
          <t>北市</t>
        </is>
      </c>
      <c r="L14" s="10" t="inlineStr">
        <is>
          <t>107/02/05</t>
        </is>
      </c>
      <c r="M14" s="10" t="inlineStr">
        <is>
          <t>4071</t>
        </is>
      </c>
      <c r="N14" s="10" t="inlineStr">
        <is>
          <t>2026-06-05</t>
        </is>
      </c>
      <c r="O14" s="11" t="inlineStr">
        <is>
          <t>https://www.roccpa.org.tw/member_search/more?id=DFF7E801-A33C-4F63-B3F9-4941F4CFA7A5</t>
        </is>
      </c>
    </row>
    <row r="15">
      <c r="A15" s="10" t="n">
        <v>14</v>
      </c>
      <c r="B15" s="11" t="inlineStr">
        <is>
          <t>安侯建業聯合會計師事務所</t>
        </is>
      </c>
      <c r="C15" s="11" t="inlineStr">
        <is>
          <t>KPMG 安侯建業</t>
        </is>
      </c>
      <c r="D15" s="11" t="inlineStr">
        <is>
          <t>吳麟</t>
        </is>
      </c>
      <c r="E15" s="10" t="inlineStr">
        <is>
          <t>台北總所</t>
        </is>
      </c>
      <c r="F15" s="12" t="inlineStr">
        <is>
          <t>台北市信義區信義路五段7號68樓</t>
        </is>
      </c>
      <c r="G15" s="12" t="inlineStr">
        <is>
          <t>台北市信義區信義路五段7號68樓</t>
        </is>
      </c>
      <c r="H15" s="12" t="inlineStr"/>
      <c r="I15" s="10" t="inlineStr"/>
      <c r="J15" s="11" t="inlineStr"/>
      <c r="K15" s="10" t="inlineStr">
        <is>
          <t>北市</t>
        </is>
      </c>
      <c r="L15" s="10" t="inlineStr">
        <is>
          <t>096/10/01</t>
        </is>
      </c>
      <c r="M15" s="10" t="inlineStr">
        <is>
          <t>2962</t>
        </is>
      </c>
      <c r="N15" s="10" t="inlineStr">
        <is>
          <t>2026-06-05</t>
        </is>
      </c>
      <c r="O15" s="11" t="inlineStr">
        <is>
          <t>https://www.roccpa.org.tw/member_search/more?id=735B3B6F-B5B7-487B-A906-E92D0EB9F089</t>
        </is>
      </c>
    </row>
    <row r="16">
      <c r="A16" s="10" t="n">
        <v>15</v>
      </c>
      <c r="B16" s="11" t="inlineStr">
        <is>
          <t>安侯建業聯合會計師事務所</t>
        </is>
      </c>
      <c r="C16" s="11" t="inlineStr">
        <is>
          <t>KPMG 安侯建業</t>
        </is>
      </c>
      <c r="D16" s="11" t="inlineStr">
        <is>
          <t>周寶蓮</t>
        </is>
      </c>
      <c r="E16" s="10" t="inlineStr">
        <is>
          <t>台北總所</t>
        </is>
      </c>
      <c r="F16" s="12" t="inlineStr">
        <is>
          <t>台北市信義區信義路五段7號68樓</t>
        </is>
      </c>
      <c r="G16" s="12" t="inlineStr">
        <is>
          <t>台北市信義區信義路五段7號68樓</t>
        </is>
      </c>
      <c r="H16" s="12" t="inlineStr"/>
      <c r="I16" s="10" t="inlineStr"/>
      <c r="J16" s="11" t="inlineStr"/>
      <c r="K16" s="10" t="inlineStr">
        <is>
          <t>北市</t>
        </is>
      </c>
      <c r="L16" s="10" t="inlineStr">
        <is>
          <t>093/05/10</t>
        </is>
      </c>
      <c r="M16" s="10" t="inlineStr">
        <is>
          <t>2637</t>
        </is>
      </c>
      <c r="N16" s="10" t="inlineStr">
        <is>
          <t>2026-06-05</t>
        </is>
      </c>
      <c r="O16" s="11" t="inlineStr">
        <is>
          <t>https://www.roccpa.org.tw/member_search/more?id=25B63349-850F-4692-9514-F4DFD01718B3</t>
        </is>
      </c>
    </row>
    <row r="17">
      <c r="A17" s="10" t="n">
        <v>16</v>
      </c>
      <c r="B17" s="11" t="inlineStr">
        <is>
          <t>安侯建業聯合會計師事務所</t>
        </is>
      </c>
      <c r="C17" s="11" t="inlineStr">
        <is>
          <t>KPMG 安侯建業</t>
        </is>
      </c>
      <c r="D17" s="11" t="inlineStr">
        <is>
          <t>唐嘉鍵</t>
        </is>
      </c>
      <c r="E17" s="10" t="inlineStr">
        <is>
          <t>台北總所</t>
        </is>
      </c>
      <c r="F17" s="12" t="inlineStr">
        <is>
          <t>台北市信義區信義路五段7號68樓</t>
        </is>
      </c>
      <c r="G17" s="12" t="inlineStr">
        <is>
          <t>台北市信義區信義路五段7號68樓</t>
        </is>
      </c>
      <c r="H17" s="12" t="inlineStr"/>
      <c r="I17" s="10" t="inlineStr">
        <is>
          <t>108/01/14</t>
        </is>
      </c>
      <c r="J17" s="11" t="inlineStr">
        <is>
          <t>全聯會一字第1080034</t>
        </is>
      </c>
      <c r="K17" s="10" t="inlineStr">
        <is>
          <t>北市</t>
        </is>
      </c>
      <c r="L17" s="10" t="inlineStr">
        <is>
          <t>108/01/14</t>
        </is>
      </c>
      <c r="M17" s="10" t="inlineStr">
        <is>
          <t>4149</t>
        </is>
      </c>
      <c r="N17" s="10" t="inlineStr">
        <is>
          <t>2026-06-05</t>
        </is>
      </c>
      <c r="O17" s="11" t="inlineStr">
        <is>
          <t>https://www.roccpa.org.tw/member_search/more?id=A47519EC-71B7-4CC1-8C9C-EAF6139EBFCB</t>
        </is>
      </c>
    </row>
    <row r="18">
      <c r="A18" s="10" t="n">
        <v>17</v>
      </c>
      <c r="B18" s="11" t="inlineStr">
        <is>
          <t>安侯建業聯合會計師事務所</t>
        </is>
      </c>
      <c r="C18" s="11" t="inlineStr">
        <is>
          <t>KPMG 安侯建業</t>
        </is>
      </c>
      <c r="D18" s="11" t="inlineStr">
        <is>
          <t>寇惠植</t>
        </is>
      </c>
      <c r="E18" s="10" t="inlineStr">
        <is>
          <t>台北總所</t>
        </is>
      </c>
      <c r="F18" s="12" t="inlineStr">
        <is>
          <t>台北市信義區信義路五段7號68樓</t>
        </is>
      </c>
      <c r="G18" s="12" t="inlineStr">
        <is>
          <t>台北市信義區信義路五段7號68樓</t>
        </is>
      </c>
      <c r="H18" s="12" t="inlineStr"/>
      <c r="I18" s="10" t="inlineStr"/>
      <c r="J18" s="11" t="inlineStr"/>
      <c r="K18" s="10" t="inlineStr">
        <is>
          <t>北市</t>
        </is>
      </c>
      <c r="L18" s="10" t="inlineStr">
        <is>
          <t>086/12/17</t>
        </is>
      </c>
      <c r="M18" s="10" t="inlineStr">
        <is>
          <t>1989</t>
        </is>
      </c>
      <c r="N18" s="10" t="inlineStr">
        <is>
          <t>2026-06-05</t>
        </is>
      </c>
      <c r="O18" s="11" t="inlineStr">
        <is>
          <t>https://www.roccpa.org.tw/member_search/more?id=DF68C182-06CF-4CCA-8A76-AF9CEB938F3C</t>
        </is>
      </c>
    </row>
    <row r="19">
      <c r="A19" s="10" t="n">
        <v>18</v>
      </c>
      <c r="B19" s="11" t="inlineStr">
        <is>
          <t>安侯建業聯合會計師事務所</t>
        </is>
      </c>
      <c r="C19" s="11" t="inlineStr">
        <is>
          <t>KPMG 安侯建業</t>
        </is>
      </c>
      <c r="D19" s="11" t="inlineStr">
        <is>
          <t>尹元聖</t>
        </is>
      </c>
      <c r="E19" s="10" t="inlineStr">
        <is>
          <t>台北總所</t>
        </is>
      </c>
      <c r="F19" s="12" t="inlineStr">
        <is>
          <t>台北市信義區信義路五段7號68樓</t>
        </is>
      </c>
      <c r="G19" s="12" t="inlineStr">
        <is>
          <t>台北市信義區信義路五段7號68樓</t>
        </is>
      </c>
      <c r="H19" s="12" t="inlineStr"/>
      <c r="I19" s="10" t="inlineStr">
        <is>
          <t>105/03/07</t>
        </is>
      </c>
      <c r="J19" s="11" t="inlineStr">
        <is>
          <t>全聯會一字第1050124</t>
        </is>
      </c>
      <c r="K19" s="10" t="inlineStr">
        <is>
          <t>北市</t>
        </is>
      </c>
      <c r="L19" s="10" t="inlineStr">
        <is>
          <t>105/03/16</t>
        </is>
      </c>
      <c r="M19" s="10" t="inlineStr">
        <is>
          <t>3906</t>
        </is>
      </c>
      <c r="N19" s="10" t="inlineStr">
        <is>
          <t>2026-06-05</t>
        </is>
      </c>
      <c r="O19" s="11" t="inlineStr">
        <is>
          <t>https://www.roccpa.org.tw/member_search/more?id=40F0714B-E3EE-44B9-BA22-C783C9DFDC30</t>
        </is>
      </c>
    </row>
    <row r="20">
      <c r="A20" s="10" t="n">
        <v>19</v>
      </c>
      <c r="B20" s="11" t="inlineStr">
        <is>
          <t>安侯建業聯合會計師事務所</t>
        </is>
      </c>
      <c r="C20" s="11" t="inlineStr">
        <is>
          <t>KPMG 安侯建業</t>
        </is>
      </c>
      <c r="D20" s="11" t="inlineStr">
        <is>
          <t>張惠貞</t>
        </is>
      </c>
      <c r="E20" s="10" t="inlineStr">
        <is>
          <t>台北總所</t>
        </is>
      </c>
      <c r="F20" s="12" t="inlineStr">
        <is>
          <t>台北市信義區信義路五段7號68樓</t>
        </is>
      </c>
      <c r="G20" s="12" t="inlineStr">
        <is>
          <t>台北市信義區信義路五段7號68樓</t>
        </is>
      </c>
      <c r="H20" s="12" t="inlineStr"/>
      <c r="I20" s="10" t="inlineStr"/>
      <c r="J20" s="11" t="inlineStr"/>
      <c r="K20" s="10" t="inlineStr">
        <is>
          <t>北市</t>
        </is>
      </c>
      <c r="L20" s="10" t="inlineStr">
        <is>
          <t>081/11/23</t>
        </is>
      </c>
      <c r="M20" s="10" t="inlineStr">
        <is>
          <t>1419</t>
        </is>
      </c>
      <c r="N20" s="10" t="inlineStr">
        <is>
          <t>2026-06-05</t>
        </is>
      </c>
      <c r="O20" s="11" t="inlineStr">
        <is>
          <t>https://www.roccpa.org.tw/member_search/more?id=9037C6F3-8701-4DDC-8778-3C0BA03208AD</t>
        </is>
      </c>
    </row>
    <row r="21">
      <c r="A21" s="10" t="n">
        <v>20</v>
      </c>
      <c r="B21" s="11" t="inlineStr">
        <is>
          <t>安侯建業聯合會計師事務所</t>
        </is>
      </c>
      <c r="C21" s="11" t="inlineStr">
        <is>
          <t>KPMG 安侯建業</t>
        </is>
      </c>
      <c r="D21" s="11" t="inlineStr">
        <is>
          <t>張智揚</t>
        </is>
      </c>
      <c r="E21" s="10" t="inlineStr">
        <is>
          <t>台北總所</t>
        </is>
      </c>
      <c r="F21" s="12" t="inlineStr">
        <is>
          <t>台北市信義區信義路五段7號68樓</t>
        </is>
      </c>
      <c r="G21" s="12" t="inlineStr">
        <is>
          <t>台北市信義區信義路五段7號68樓</t>
        </is>
      </c>
      <c r="H21" s="12" t="inlineStr"/>
      <c r="I21" s="10" t="inlineStr">
        <is>
          <t>111/02/07</t>
        </is>
      </c>
      <c r="J21" s="11" t="inlineStr">
        <is>
          <t>全聯會一字第1110070</t>
        </is>
      </c>
      <c r="K21" s="10" t="inlineStr">
        <is>
          <t>北市</t>
        </is>
      </c>
      <c r="L21" s="10" t="inlineStr">
        <is>
          <t>111/02/07</t>
        </is>
      </c>
      <c r="M21" s="10" t="inlineStr">
        <is>
          <t>4400</t>
        </is>
      </c>
      <c r="N21" s="10" t="inlineStr">
        <is>
          <t>2026-06-05</t>
        </is>
      </c>
      <c r="O21" s="11" t="inlineStr">
        <is>
          <t>https://www.roccpa.org.tw/member_search/more?id=4CBA9ABF-D35E-4798-9543-8B7E33203BE8</t>
        </is>
      </c>
    </row>
    <row r="22">
      <c r="A22" s="10" t="n">
        <v>21</v>
      </c>
      <c r="B22" s="11" t="inlineStr">
        <is>
          <t>安侯建業聯合會計師事務所</t>
        </is>
      </c>
      <c r="C22" s="11" t="inlineStr">
        <is>
          <t>KPMG 安侯建業</t>
        </is>
      </c>
      <c r="D22" s="11" t="inlineStr">
        <is>
          <t>張淑瑩</t>
        </is>
      </c>
      <c r="E22" s="10" t="inlineStr">
        <is>
          <t>台北總所</t>
        </is>
      </c>
      <c r="F22" s="12" t="inlineStr">
        <is>
          <t>台北市信義區信義路五段7號68樓</t>
        </is>
      </c>
      <c r="G22" s="12" t="inlineStr">
        <is>
          <t>台北市信義區信義路五段7號68樓</t>
        </is>
      </c>
      <c r="H22" s="12" t="inlineStr"/>
      <c r="I22" s="10" t="inlineStr"/>
      <c r="J22" s="11" t="inlineStr"/>
      <c r="K22" s="10" t="inlineStr">
        <is>
          <t>北市</t>
        </is>
      </c>
      <c r="L22" s="10" t="inlineStr">
        <is>
          <t>088/09/28</t>
        </is>
      </c>
      <c r="M22" s="10" t="inlineStr">
        <is>
          <t>2191</t>
        </is>
      </c>
      <c r="N22" s="10" t="inlineStr">
        <is>
          <t>2026-06-05</t>
        </is>
      </c>
      <c r="O22" s="11" t="inlineStr">
        <is>
          <t>https://www.roccpa.org.tw/member_search/more?id=4B50D5E9-BE98-451B-A9D2-785F03E4B40D</t>
        </is>
      </c>
    </row>
    <row r="23">
      <c r="A23" s="10" t="n">
        <v>22</v>
      </c>
      <c r="B23" s="11" t="inlineStr">
        <is>
          <t>安侯建業聯合會計師事務所</t>
        </is>
      </c>
      <c r="C23" s="11" t="inlineStr">
        <is>
          <t>KPMG 安侯建業</t>
        </is>
      </c>
      <c r="D23" s="11" t="inlineStr">
        <is>
          <t>張純怡</t>
        </is>
      </c>
      <c r="E23" s="10" t="inlineStr">
        <is>
          <t>台北總所</t>
        </is>
      </c>
      <c r="F23" s="12" t="inlineStr">
        <is>
          <t>台北市信義區信義路五段7號68樓</t>
        </is>
      </c>
      <c r="G23" s="12" t="inlineStr">
        <is>
          <t>台北市信義區信義路五段7號68樓</t>
        </is>
      </c>
      <c r="H23" s="12" t="inlineStr"/>
      <c r="I23" s="10" t="inlineStr">
        <is>
          <t>105/08/17</t>
        </is>
      </c>
      <c r="J23" s="11" t="inlineStr">
        <is>
          <t>全聯會一字第1050357</t>
        </is>
      </c>
      <c r="K23" s="10" t="inlineStr">
        <is>
          <t>北市</t>
        </is>
      </c>
      <c r="L23" s="10" t="inlineStr">
        <is>
          <t>105/08/22</t>
        </is>
      </c>
      <c r="M23" s="10" t="inlineStr">
        <is>
          <t>3955</t>
        </is>
      </c>
      <c r="N23" s="10" t="inlineStr">
        <is>
          <t>2026-06-05</t>
        </is>
      </c>
      <c r="O23" s="11" t="inlineStr">
        <is>
          <t>https://www.roccpa.org.tw/member_search/more?id=DEB62E18-1703-4AD0-AF44-C1A0EEDE96EA</t>
        </is>
      </c>
    </row>
    <row r="24">
      <c r="A24" s="10" t="n">
        <v>23</v>
      </c>
      <c r="B24" s="11" t="inlineStr">
        <is>
          <t>安侯建業聯合會計師事務所</t>
        </is>
      </c>
      <c r="C24" s="11" t="inlineStr">
        <is>
          <t>KPMG 安侯建業</t>
        </is>
      </c>
      <c r="D24" s="11" t="inlineStr">
        <is>
          <t>張維夫</t>
        </is>
      </c>
      <c r="E24" s="10" t="inlineStr">
        <is>
          <t>台北總所</t>
        </is>
      </c>
      <c r="F24" s="12" t="inlineStr">
        <is>
          <t>台北市信義區信義路五段7號68樓</t>
        </is>
      </c>
      <c r="G24" s="12" t="inlineStr">
        <is>
          <t>台北市信義區信義路五段7號68樓</t>
        </is>
      </c>
      <c r="H24" s="12" t="inlineStr"/>
      <c r="I24" s="10" t="inlineStr">
        <is>
          <t>100/06/28</t>
        </is>
      </c>
      <c r="J24" s="11" t="inlineStr">
        <is>
          <t>全聯會一字第1000251</t>
        </is>
      </c>
      <c r="K24" s="10" t="inlineStr">
        <is>
          <t>北市</t>
        </is>
      </c>
      <c r="L24" s="10" t="inlineStr">
        <is>
          <t>100/07/06</t>
        </is>
      </c>
      <c r="M24" s="10" t="inlineStr">
        <is>
          <t>3367</t>
        </is>
      </c>
      <c r="N24" s="10" t="inlineStr">
        <is>
          <t>2026-06-05</t>
        </is>
      </c>
      <c r="O24" s="11" t="inlineStr">
        <is>
          <t>https://www.roccpa.org.tw/member_search/more?id=D404CC9D-99BE-4A4B-A2B7-689BA4B58F04</t>
        </is>
      </c>
    </row>
    <row r="25">
      <c r="A25" s="10" t="n">
        <v>24</v>
      </c>
      <c r="B25" s="11" t="inlineStr">
        <is>
          <t>安侯建業聯合會計師事務所</t>
        </is>
      </c>
      <c r="C25" s="11" t="inlineStr">
        <is>
          <t>KPMG 安侯建業</t>
        </is>
      </c>
      <c r="D25" s="11" t="inlineStr">
        <is>
          <t>張維欣</t>
        </is>
      </c>
      <c r="E25" s="10" t="inlineStr">
        <is>
          <t>台北總所</t>
        </is>
      </c>
      <c r="F25" s="12" t="inlineStr">
        <is>
          <t>台北市信義區信義路五段7號68樓</t>
        </is>
      </c>
      <c r="G25" s="12" t="inlineStr">
        <is>
          <t>台北市信義區信義路五段7號68樓</t>
        </is>
      </c>
      <c r="H25" s="12" t="inlineStr"/>
      <c r="I25" s="10" t="inlineStr">
        <is>
          <t>114/01/13</t>
        </is>
      </c>
      <c r="J25" s="11" t="inlineStr">
        <is>
          <t>全聯會一字第1140000040號</t>
        </is>
      </c>
      <c r="K25" s="10" t="inlineStr">
        <is>
          <t>北市</t>
        </is>
      </c>
      <c r="L25" s="10" t="inlineStr">
        <is>
          <t>114/01/13</t>
        </is>
      </c>
      <c r="M25" s="10" t="inlineStr">
        <is>
          <t>4696</t>
        </is>
      </c>
      <c r="N25" s="10" t="inlineStr">
        <is>
          <t>2026-06-05</t>
        </is>
      </c>
      <c r="O25" s="11" t="inlineStr">
        <is>
          <t>https://www.roccpa.org.tw/member_search/more?id=5CE22604-5FDC-4B53-AFFF-3C803D13EA16</t>
        </is>
      </c>
    </row>
    <row r="26">
      <c r="A26" s="10" t="n">
        <v>25</v>
      </c>
      <c r="B26" s="11" t="inlineStr">
        <is>
          <t>安侯建業聯合會計師事務所</t>
        </is>
      </c>
      <c r="C26" s="11" t="inlineStr">
        <is>
          <t>KPMG 安侯建業</t>
        </is>
      </c>
      <c r="D26" s="11" t="inlineStr">
        <is>
          <t>張肇文</t>
        </is>
      </c>
      <c r="E26" s="10" t="inlineStr">
        <is>
          <t>台北總所</t>
        </is>
      </c>
      <c r="F26" s="12" t="inlineStr">
        <is>
          <t>台北市信義區信義路五段7號68樓</t>
        </is>
      </c>
      <c r="G26" s="12" t="inlineStr">
        <is>
          <t>台北市信義區信義路五段7號68樓</t>
        </is>
      </c>
      <c r="H26" s="12" t="inlineStr"/>
      <c r="I26" s="10" t="inlineStr">
        <is>
          <t>114/01/13</t>
        </is>
      </c>
      <c r="J26" s="11" t="inlineStr">
        <is>
          <t>全聯會一字第1140000037號</t>
        </is>
      </c>
      <c r="K26" s="10" t="inlineStr">
        <is>
          <t>北市</t>
        </is>
      </c>
      <c r="L26" s="10" t="inlineStr">
        <is>
          <t>114/01/13</t>
        </is>
      </c>
      <c r="M26" s="10" t="inlineStr">
        <is>
          <t>4693</t>
        </is>
      </c>
      <c r="N26" s="10" t="inlineStr">
        <is>
          <t>2026-06-05</t>
        </is>
      </c>
      <c r="O26" s="11" t="inlineStr">
        <is>
          <t>https://www.roccpa.org.tw/member_search/more?id=C6785576-4E84-4832-91B5-4BF76B32DC52</t>
        </is>
      </c>
    </row>
    <row r="27">
      <c r="A27" s="10" t="n">
        <v>26</v>
      </c>
      <c r="B27" s="11" t="inlineStr">
        <is>
          <t>安侯建業聯合會計師事務所</t>
        </is>
      </c>
      <c r="C27" s="11" t="inlineStr">
        <is>
          <t>KPMG 安侯建業</t>
        </is>
      </c>
      <c r="D27" s="11" t="inlineStr">
        <is>
          <t>施威銘</t>
        </is>
      </c>
      <c r="E27" s="10" t="inlineStr">
        <is>
          <t>台北總所</t>
        </is>
      </c>
      <c r="F27" s="12" t="inlineStr">
        <is>
          <t>台北市信義區信義路五段7號68樓</t>
        </is>
      </c>
      <c r="G27" s="12" t="inlineStr">
        <is>
          <t>台北市信義區信義路五段7號68樓</t>
        </is>
      </c>
      <c r="H27" s="12" t="inlineStr"/>
      <c r="I27" s="10" t="inlineStr"/>
      <c r="J27" s="11" t="inlineStr"/>
      <c r="K27" s="10" t="inlineStr">
        <is>
          <t>北市</t>
        </is>
      </c>
      <c r="L27" s="10" t="inlineStr">
        <is>
          <t>090/03/15</t>
        </is>
      </c>
      <c r="M27" s="10" t="inlineStr">
        <is>
          <t>2352</t>
        </is>
      </c>
      <c r="N27" s="10" t="inlineStr">
        <is>
          <t>2026-06-05</t>
        </is>
      </c>
      <c r="O27" s="11" t="inlineStr">
        <is>
          <t>https://www.roccpa.org.tw/member_search/more?id=9FE7A46D-E360-412D-9647-F959798A1F70</t>
        </is>
      </c>
    </row>
    <row r="28">
      <c r="A28" s="10" t="n">
        <v>27</v>
      </c>
      <c r="B28" s="11" t="inlineStr">
        <is>
          <t>安侯建業聯合會計師事務所</t>
        </is>
      </c>
      <c r="C28" s="11" t="inlineStr">
        <is>
          <t>KPMG 安侯建業</t>
        </is>
      </c>
      <c r="D28" s="11" t="inlineStr">
        <is>
          <t>曾國禓</t>
        </is>
      </c>
      <c r="E28" s="10" t="inlineStr">
        <is>
          <t>台北總所</t>
        </is>
      </c>
      <c r="F28" s="12" t="inlineStr">
        <is>
          <t>台北市信義區信義路五段7號68樓</t>
        </is>
      </c>
      <c r="G28" s="12" t="inlineStr">
        <is>
          <t>台北市信義區信義路五段7號68樓</t>
        </is>
      </c>
      <c r="H28" s="12" t="inlineStr"/>
      <c r="I28" s="10" t="inlineStr"/>
      <c r="J28" s="11" t="inlineStr"/>
      <c r="K28" s="10" t="inlineStr">
        <is>
          <t>北市</t>
        </is>
      </c>
      <c r="L28" s="10" t="inlineStr">
        <is>
          <t>093/12/16</t>
        </is>
      </c>
      <c r="M28" s="10" t="inlineStr">
        <is>
          <t>2701</t>
        </is>
      </c>
      <c r="N28" s="10" t="inlineStr">
        <is>
          <t>2026-06-05</t>
        </is>
      </c>
      <c r="O28" s="11" t="inlineStr">
        <is>
          <t>https://www.roccpa.org.tw/member_search/more?id=D306462A-4EA9-409C-B410-533633DA3B97</t>
        </is>
      </c>
    </row>
    <row r="29">
      <c r="A29" s="10" t="n">
        <v>28</v>
      </c>
      <c r="B29" s="11" t="inlineStr">
        <is>
          <t>安侯建業聯合會計師事務所</t>
        </is>
      </c>
      <c r="C29" s="11" t="inlineStr">
        <is>
          <t>KPMG 安侯建業</t>
        </is>
      </c>
      <c r="D29" s="11" t="inlineStr">
        <is>
          <t>李䄱儀</t>
        </is>
      </c>
      <c r="E29" s="10" t="inlineStr">
        <is>
          <t>台北總所</t>
        </is>
      </c>
      <c r="F29" s="12" t="inlineStr">
        <is>
          <t>台北市信義區信義路五段7號68樓</t>
        </is>
      </c>
      <c r="G29" s="12" t="inlineStr">
        <is>
          <t>台北市信義區信義路五段7號68樓</t>
        </is>
      </c>
      <c r="H29" s="12" t="inlineStr"/>
      <c r="I29" s="10" t="inlineStr">
        <is>
          <t>101/01/19</t>
        </is>
      </c>
      <c r="J29" s="11" t="inlineStr">
        <is>
          <t>全聯會一字第1010020</t>
        </is>
      </c>
      <c r="K29" s="10" t="inlineStr">
        <is>
          <t>北市</t>
        </is>
      </c>
      <c r="L29" s="10" t="inlineStr">
        <is>
          <t>101/02/06</t>
        </is>
      </c>
      <c r="M29" s="10" t="inlineStr">
        <is>
          <t>3419</t>
        </is>
      </c>
      <c r="N29" s="10" t="inlineStr">
        <is>
          <t>2026-06-05</t>
        </is>
      </c>
      <c r="O29" s="11" t="inlineStr">
        <is>
          <t>https://www.roccpa.org.tw/member_search/more?id=A1A1601F-D000-4EAC-BC9F-AF15E05DBC48</t>
        </is>
      </c>
    </row>
    <row r="30">
      <c r="A30" s="10" t="n">
        <v>29</v>
      </c>
      <c r="B30" s="11" t="inlineStr">
        <is>
          <t>安侯建業聯合會計師事務所</t>
        </is>
      </c>
      <c r="C30" s="11" t="inlineStr">
        <is>
          <t>KPMG 安侯建業</t>
        </is>
      </c>
      <c r="D30" s="11" t="inlineStr">
        <is>
          <t>李慈慧</t>
        </is>
      </c>
      <c r="E30" s="10" t="inlineStr">
        <is>
          <t>台北總所</t>
        </is>
      </c>
      <c r="F30" s="12" t="inlineStr">
        <is>
          <t>台北市信義區信義路五段7號68樓</t>
        </is>
      </c>
      <c r="G30" s="12" t="inlineStr">
        <is>
          <t>台北市信義區信義路五段7號68樓</t>
        </is>
      </c>
      <c r="H30" s="12" t="inlineStr"/>
      <c r="I30" s="10" t="inlineStr"/>
      <c r="J30" s="11" t="inlineStr"/>
      <c r="K30" s="10" t="inlineStr">
        <is>
          <t>北市</t>
        </is>
      </c>
      <c r="L30" s="10" t="inlineStr">
        <is>
          <t>085/12/31</t>
        </is>
      </c>
      <c r="M30" s="10" t="inlineStr">
        <is>
          <t>1888</t>
        </is>
      </c>
      <c r="N30" s="10" t="inlineStr">
        <is>
          <t>2026-06-05</t>
        </is>
      </c>
      <c r="O30" s="11" t="inlineStr">
        <is>
          <t>https://www.roccpa.org.tw/member_search/more?id=B1E3373C-27A8-49C7-9F2A-1B9441715A61</t>
        </is>
      </c>
    </row>
    <row r="31">
      <c r="A31" s="10" t="n">
        <v>30</v>
      </c>
      <c r="B31" s="11" t="inlineStr">
        <is>
          <t>安侯建業聯合會計師事務所</t>
        </is>
      </c>
      <c r="C31" s="11" t="inlineStr">
        <is>
          <t>KPMG 安侯建業</t>
        </is>
      </c>
      <c r="D31" s="11" t="inlineStr">
        <is>
          <t>李逢暉</t>
        </is>
      </c>
      <c r="E31" s="10" t="inlineStr">
        <is>
          <t>台北總所</t>
        </is>
      </c>
      <c r="F31" s="12" t="inlineStr">
        <is>
          <t>台北市信義區信義路五段7號68樓</t>
        </is>
      </c>
      <c r="G31" s="12" t="inlineStr">
        <is>
          <t>台北市信義區信義路五段7號68樓</t>
        </is>
      </c>
      <c r="H31" s="12" t="inlineStr"/>
      <c r="I31" s="10" t="inlineStr">
        <is>
          <t>100/03/14</t>
        </is>
      </c>
      <c r="J31" s="11" t="inlineStr">
        <is>
          <t>全聯會一字第1000092</t>
        </is>
      </c>
      <c r="K31" s="10" t="inlineStr">
        <is>
          <t>北市</t>
        </is>
      </c>
      <c r="L31" s="10" t="inlineStr">
        <is>
          <t>100/03/16</t>
        </is>
      </c>
      <c r="M31" s="10" t="inlineStr">
        <is>
          <t>3327</t>
        </is>
      </c>
      <c r="N31" s="10" t="inlineStr">
        <is>
          <t>2026-06-05</t>
        </is>
      </c>
      <c r="O31" s="11" t="inlineStr">
        <is>
          <t>https://www.roccpa.org.tw/member_search/more?id=72DAC401-2071-4F55-8382-DF8FC0B63908</t>
        </is>
      </c>
    </row>
    <row r="32">
      <c r="A32" s="10" t="n">
        <v>31</v>
      </c>
      <c r="B32" s="11" t="inlineStr">
        <is>
          <t>安侯建業聯合會計師事務所</t>
        </is>
      </c>
      <c r="C32" s="11" t="inlineStr">
        <is>
          <t>KPMG 安侯建業</t>
        </is>
      </c>
      <c r="D32" s="11" t="inlineStr">
        <is>
          <t>林佳伶</t>
        </is>
      </c>
      <c r="E32" s="10" t="inlineStr">
        <is>
          <t>台北總所</t>
        </is>
      </c>
      <c r="F32" s="12" t="inlineStr">
        <is>
          <t>台北市信義區信義路五段7號68樓</t>
        </is>
      </c>
      <c r="G32" s="12" t="inlineStr">
        <is>
          <t>台北市信義區信義路五段7號68樓</t>
        </is>
      </c>
      <c r="H32" s="12" t="inlineStr"/>
      <c r="I32" s="10" t="inlineStr">
        <is>
          <t>114/10/03</t>
        </is>
      </c>
      <c r="J32" s="11" t="inlineStr">
        <is>
          <t>全聯會一字第1140000487號</t>
        </is>
      </c>
      <c r="K32" s="10" t="inlineStr">
        <is>
          <t>北市</t>
        </is>
      </c>
      <c r="L32" s="10" t="inlineStr">
        <is>
          <t>114/10/03</t>
        </is>
      </c>
      <c r="M32" s="10" t="inlineStr">
        <is>
          <t>4843</t>
        </is>
      </c>
      <c r="N32" s="10" t="inlineStr">
        <is>
          <t>2026-06-05</t>
        </is>
      </c>
      <c r="O32" s="11" t="inlineStr">
        <is>
          <t>https://www.roccpa.org.tw/member_search/more?id=0D0EA596-7040-4052-A94F-576A891ADD80</t>
        </is>
      </c>
    </row>
    <row r="33">
      <c r="A33" s="10" t="n">
        <v>32</v>
      </c>
      <c r="B33" s="11" t="inlineStr">
        <is>
          <t>安侯建業聯合會計師事務所</t>
        </is>
      </c>
      <c r="C33" s="11" t="inlineStr">
        <is>
          <t>KPMG 安侯建業</t>
        </is>
      </c>
      <c r="D33" s="11" t="inlineStr">
        <is>
          <t>林倚聰</t>
        </is>
      </c>
      <c r="E33" s="10" t="inlineStr">
        <is>
          <t>台北總所</t>
        </is>
      </c>
      <c r="F33" s="12" t="inlineStr">
        <is>
          <t>台北市信義區信義路五段7號68樓</t>
        </is>
      </c>
      <c r="G33" s="12" t="inlineStr">
        <is>
          <t>台北市信義區信義路五段7號68樓</t>
        </is>
      </c>
      <c r="H33" s="12" t="inlineStr"/>
      <c r="I33" s="10" t="inlineStr">
        <is>
          <t>111/06/13</t>
        </is>
      </c>
      <c r="J33" s="11" t="inlineStr">
        <is>
          <t>全聯會一字第1110225</t>
        </is>
      </c>
      <c r="K33" s="10" t="inlineStr">
        <is>
          <t>北市</t>
        </is>
      </c>
      <c r="L33" s="10" t="inlineStr">
        <is>
          <t>111/06/13</t>
        </is>
      </c>
      <c r="M33" s="10" t="inlineStr">
        <is>
          <t>4437</t>
        </is>
      </c>
      <c r="N33" s="10" t="inlineStr">
        <is>
          <t>2026-06-05</t>
        </is>
      </c>
      <c r="O33" s="11" t="inlineStr">
        <is>
          <t>https://www.roccpa.org.tw/member_search/more?id=346545FF-726C-4F07-87E1-44675DB8E190</t>
        </is>
      </c>
    </row>
    <row r="34">
      <c r="A34" s="10" t="n">
        <v>33</v>
      </c>
      <c r="B34" s="11" t="inlineStr">
        <is>
          <t>安侯建業聯合會計師事務所</t>
        </is>
      </c>
      <c r="C34" s="11" t="inlineStr">
        <is>
          <t>KPMG 安侯建業</t>
        </is>
      </c>
      <c r="D34" s="11" t="inlineStr">
        <is>
          <t>林君彬</t>
        </is>
      </c>
      <c r="E34" s="10" t="inlineStr">
        <is>
          <t>台北總所</t>
        </is>
      </c>
      <c r="F34" s="12" t="inlineStr">
        <is>
          <t>台北市信義區信義路五段7號68樓</t>
        </is>
      </c>
      <c r="G34" s="12" t="inlineStr">
        <is>
          <t>台北市信義區信義路五段7號68樓</t>
        </is>
      </c>
      <c r="H34" s="12" t="inlineStr"/>
      <c r="I34" s="10" t="inlineStr">
        <is>
          <t>114/10/03</t>
        </is>
      </c>
      <c r="J34" s="11" t="inlineStr">
        <is>
          <t>全聯會一字第1140000489號</t>
        </is>
      </c>
      <c r="K34" s="10" t="inlineStr">
        <is>
          <t>北市</t>
        </is>
      </c>
      <c r="L34" s="10" t="inlineStr">
        <is>
          <t>114/10/03</t>
        </is>
      </c>
      <c r="M34" s="10" t="inlineStr">
        <is>
          <t>4845</t>
        </is>
      </c>
      <c r="N34" s="10" t="inlineStr">
        <is>
          <t>2026-06-05</t>
        </is>
      </c>
      <c r="O34" s="11" t="inlineStr">
        <is>
          <t>https://www.roccpa.org.tw/member_search/more?id=B059D6B6-143D-4488-A59B-4D06A1230DCA</t>
        </is>
      </c>
    </row>
    <row r="35">
      <c r="A35" s="10" t="n">
        <v>34</v>
      </c>
      <c r="B35" s="11" t="inlineStr">
        <is>
          <t>安侯建業聯合會計師事務所</t>
        </is>
      </c>
      <c r="C35" s="11" t="inlineStr">
        <is>
          <t>KPMG 安侯建業</t>
        </is>
      </c>
      <c r="D35" s="11" t="inlineStr">
        <is>
          <t>林恒昇</t>
        </is>
      </c>
      <c r="E35" s="10" t="inlineStr">
        <is>
          <t>台北總所</t>
        </is>
      </c>
      <c r="F35" s="12" t="inlineStr">
        <is>
          <t>台北市信義區信義路五段7號68樓</t>
        </is>
      </c>
      <c r="G35" s="12" t="inlineStr">
        <is>
          <t>台北市信義區信義路五段7號68樓</t>
        </is>
      </c>
      <c r="H35" s="12" t="inlineStr"/>
      <c r="I35" s="10" t="inlineStr"/>
      <c r="J35" s="11" t="inlineStr"/>
      <c r="K35" s="10" t="inlineStr">
        <is>
          <t>北市</t>
        </is>
      </c>
      <c r="L35" s="10" t="inlineStr">
        <is>
          <t>086/12/17</t>
        </is>
      </c>
      <c r="M35" s="10" t="inlineStr">
        <is>
          <t>1992</t>
        </is>
      </c>
      <c r="N35" s="10" t="inlineStr">
        <is>
          <t>2026-06-05</t>
        </is>
      </c>
      <c r="O35" s="11" t="inlineStr">
        <is>
          <t>https://www.roccpa.org.tw/member_search/more?id=3EF3AD4D-CCD7-4D06-BCE9-5A2B117970BA</t>
        </is>
      </c>
    </row>
    <row r="36">
      <c r="A36" s="10" t="n">
        <v>35</v>
      </c>
      <c r="B36" s="11" t="inlineStr">
        <is>
          <t>安侯建業聯合會計師事務所</t>
        </is>
      </c>
      <c r="C36" s="11" t="inlineStr">
        <is>
          <t>KPMG 安侯建業</t>
        </is>
      </c>
      <c r="D36" s="11" t="inlineStr">
        <is>
          <t>林棠妮</t>
        </is>
      </c>
      <c r="E36" s="10" t="inlineStr">
        <is>
          <t>台北總所</t>
        </is>
      </c>
      <c r="F36" s="12" t="inlineStr">
        <is>
          <t>台北市信義區信義路五段7號68樓</t>
        </is>
      </c>
      <c r="G36" s="12" t="inlineStr">
        <is>
          <t>台北市信義區信義路五段7號68樓</t>
        </is>
      </c>
      <c r="H36" s="12" t="inlineStr"/>
      <c r="I36" s="10" t="inlineStr">
        <is>
          <t>110/06/28</t>
        </is>
      </c>
      <c r="J36" s="11" t="inlineStr">
        <is>
          <t>全聯會一字第1100265</t>
        </is>
      </c>
      <c r="K36" s="10" t="inlineStr">
        <is>
          <t>北市</t>
        </is>
      </c>
      <c r="L36" s="10" t="inlineStr">
        <is>
          <t>110/06/28</t>
        </is>
      </c>
      <c r="M36" s="10" t="inlineStr">
        <is>
          <t>4355</t>
        </is>
      </c>
      <c r="N36" s="10" t="inlineStr">
        <is>
          <t>2026-06-05</t>
        </is>
      </c>
      <c r="O36" s="11" t="inlineStr">
        <is>
          <t>https://www.roccpa.org.tw/member_search/more?id=006B44B4-7539-4FEA-AC3A-74BB1B679C7B</t>
        </is>
      </c>
    </row>
    <row r="37">
      <c r="A37" s="10" t="n">
        <v>36</v>
      </c>
      <c r="B37" s="11" t="inlineStr">
        <is>
          <t>安侯建業聯合會計師事務所</t>
        </is>
      </c>
      <c r="C37" s="11" t="inlineStr">
        <is>
          <t>KPMG 安侯建業</t>
        </is>
      </c>
      <c r="D37" s="11" t="inlineStr">
        <is>
          <t>林琇宜</t>
        </is>
      </c>
      <c r="E37" s="10" t="inlineStr">
        <is>
          <t>台北總所</t>
        </is>
      </c>
      <c r="F37" s="12" t="inlineStr">
        <is>
          <t>台北市信義區信義路五段7號68樓</t>
        </is>
      </c>
      <c r="G37" s="12" t="inlineStr">
        <is>
          <t>台北市信義區信義路五段7號68樓</t>
        </is>
      </c>
      <c r="H37" s="12" t="inlineStr"/>
      <c r="I37" s="10" t="inlineStr"/>
      <c r="J37" s="11" t="inlineStr"/>
      <c r="K37" s="10" t="inlineStr">
        <is>
          <t>北市</t>
        </is>
      </c>
      <c r="L37" s="10" t="inlineStr">
        <is>
          <t>094/12/14</t>
        </is>
      </c>
      <c r="M37" s="10" t="inlineStr">
        <is>
          <t>2813</t>
        </is>
      </c>
      <c r="N37" s="10" t="inlineStr">
        <is>
          <t>2026-06-05</t>
        </is>
      </c>
      <c r="O37" s="11" t="inlineStr">
        <is>
          <t>https://www.roccpa.org.tw/member_search/more?id=9D8A7F23-5B98-4C8C-B247-F6727E4D955A</t>
        </is>
      </c>
    </row>
    <row r="38">
      <c r="A38" s="10" t="n">
        <v>37</v>
      </c>
      <c r="B38" s="11" t="inlineStr">
        <is>
          <t>安侯建業聯合會計師事務所</t>
        </is>
      </c>
      <c r="C38" s="11" t="inlineStr">
        <is>
          <t>KPMG 安侯建業</t>
        </is>
      </c>
      <c r="D38" s="11" t="inlineStr">
        <is>
          <t>柯有聰</t>
        </is>
      </c>
      <c r="E38" s="10" t="inlineStr">
        <is>
          <t>台北總所</t>
        </is>
      </c>
      <c r="F38" s="12" t="inlineStr">
        <is>
          <t>台北市信義區信義路五段7號68樓</t>
        </is>
      </c>
      <c r="G38" s="12" t="inlineStr">
        <is>
          <t>台北市信義區信義路五段7號68樓</t>
        </is>
      </c>
      <c r="H38" s="12" t="inlineStr"/>
      <c r="I38" s="10" t="inlineStr">
        <is>
          <t>110/01/27</t>
        </is>
      </c>
      <c r="J38" s="11" t="inlineStr">
        <is>
          <t>全聯會一字第1100045</t>
        </is>
      </c>
      <c r="K38" s="10" t="inlineStr">
        <is>
          <t>北市</t>
        </is>
      </c>
      <c r="L38" s="10" t="inlineStr">
        <is>
          <t>110/01/27</t>
        </is>
      </c>
      <c r="M38" s="10" t="inlineStr">
        <is>
          <t>4300</t>
        </is>
      </c>
      <c r="N38" s="10" t="inlineStr">
        <is>
          <t>2026-06-05</t>
        </is>
      </c>
      <c r="O38" s="11" t="inlineStr">
        <is>
          <t>https://www.roccpa.org.tw/member_search/more?id=ECA8D0D6-022B-49E9-BAE9-65919629B14A</t>
        </is>
      </c>
    </row>
    <row r="39">
      <c r="A39" s="10" t="n">
        <v>38</v>
      </c>
      <c r="B39" s="11" t="inlineStr">
        <is>
          <t>安侯建業聯合會計師事務所</t>
        </is>
      </c>
      <c r="C39" s="11" t="inlineStr">
        <is>
          <t>KPMG 安侯建業</t>
        </is>
      </c>
      <c r="D39" s="11" t="inlineStr">
        <is>
          <t>梅元貞</t>
        </is>
      </c>
      <c r="E39" s="10" t="inlineStr">
        <is>
          <t>台北總所</t>
        </is>
      </c>
      <c r="F39" s="12" t="inlineStr">
        <is>
          <t>台北市信義區信義路五段7號68樓</t>
        </is>
      </c>
      <c r="G39" s="12" t="inlineStr">
        <is>
          <t>台北市信義區信義路五段7號68樓</t>
        </is>
      </c>
      <c r="H39" s="12" t="inlineStr"/>
      <c r="I39" s="10" t="inlineStr"/>
      <c r="J39" s="11" t="inlineStr"/>
      <c r="K39" s="10" t="inlineStr">
        <is>
          <t>北市</t>
        </is>
      </c>
      <c r="L39" s="10" t="inlineStr">
        <is>
          <t>091/03/08</t>
        </is>
      </c>
      <c r="M39" s="10" t="inlineStr">
        <is>
          <t>2444</t>
        </is>
      </c>
      <c r="N39" s="10" t="inlineStr">
        <is>
          <t>2026-06-05</t>
        </is>
      </c>
      <c r="O39" s="11" t="inlineStr">
        <is>
          <t>https://www.roccpa.org.tw/member_search/more?id=EAEDFDBF-F6FE-4CF3-A9D6-DC44FEC6AD71</t>
        </is>
      </c>
    </row>
    <row r="40">
      <c r="A40" s="10" t="n">
        <v>39</v>
      </c>
      <c r="B40" s="11" t="inlineStr">
        <is>
          <t>安侯建業聯合會計師事務所</t>
        </is>
      </c>
      <c r="C40" s="11" t="inlineStr">
        <is>
          <t>KPMG 安侯建業</t>
        </is>
      </c>
      <c r="D40" s="11" t="inlineStr">
        <is>
          <t>楊樹芝</t>
        </is>
      </c>
      <c r="E40" s="10" t="inlineStr">
        <is>
          <t>台北總所</t>
        </is>
      </c>
      <c r="F40" s="12" t="inlineStr">
        <is>
          <t>台北市信義區信義路五段7號68樓</t>
        </is>
      </c>
      <c r="G40" s="12" t="inlineStr">
        <is>
          <t>台北市信義區信義路五段7號68樓</t>
        </is>
      </c>
      <c r="H40" s="12" t="inlineStr"/>
      <c r="I40" s="10" t="inlineStr">
        <is>
          <t>104/01/28</t>
        </is>
      </c>
      <c r="J40" s="11" t="inlineStr">
        <is>
          <t>全聯會一字第1040057</t>
        </is>
      </c>
      <c r="K40" s="10" t="inlineStr">
        <is>
          <t>北市</t>
        </is>
      </c>
      <c r="L40" s="10" t="inlineStr">
        <is>
          <t>104/02/04</t>
        </is>
      </c>
      <c r="M40" s="10" t="inlineStr">
        <is>
          <t>3788</t>
        </is>
      </c>
      <c r="N40" s="10" t="inlineStr">
        <is>
          <t>2026-06-05</t>
        </is>
      </c>
      <c r="O40" s="11" t="inlineStr">
        <is>
          <t>https://www.roccpa.org.tw/member_search/more?id=338CFD76-7DFF-4E3F-9267-F2B4BA1EFD24</t>
        </is>
      </c>
    </row>
    <row r="41">
      <c r="A41" s="10" t="n">
        <v>40</v>
      </c>
      <c r="B41" s="11" t="inlineStr">
        <is>
          <t>安侯建業聯合會計師事務所</t>
        </is>
      </c>
      <c r="C41" s="11" t="inlineStr">
        <is>
          <t>KPMG 安侯建業</t>
        </is>
      </c>
      <c r="D41" s="11" t="inlineStr">
        <is>
          <t>楊雲筑</t>
        </is>
      </c>
      <c r="E41" s="10" t="inlineStr">
        <is>
          <t>台北總所</t>
        </is>
      </c>
      <c r="F41" s="12" t="inlineStr">
        <is>
          <t>台北市信義區信義路五段7號68樓</t>
        </is>
      </c>
      <c r="G41" s="12" t="inlineStr">
        <is>
          <t>台北市信義區信義路五段7號68樓</t>
        </is>
      </c>
      <c r="H41" s="12" t="inlineStr"/>
      <c r="I41" s="10" t="inlineStr">
        <is>
          <t>113/01/15</t>
        </is>
      </c>
      <c r="J41" s="11" t="inlineStr">
        <is>
          <t>全聯會一字第1130000029號</t>
        </is>
      </c>
      <c r="K41" s="10" t="inlineStr">
        <is>
          <t>北市</t>
        </is>
      </c>
      <c r="L41" s="10" t="inlineStr">
        <is>
          <t>113/01/15</t>
        </is>
      </c>
      <c r="M41" s="10" t="inlineStr">
        <is>
          <t>4592</t>
        </is>
      </c>
      <c r="N41" s="10" t="inlineStr">
        <is>
          <t>2026-06-05</t>
        </is>
      </c>
      <c r="O41" s="11" t="inlineStr">
        <is>
          <t>https://www.roccpa.org.tw/member_search/more?id=53CA76D6-6B51-4A86-955D-CA50EA169431</t>
        </is>
      </c>
    </row>
    <row r="42">
      <c r="A42" s="10" t="n">
        <v>41</v>
      </c>
      <c r="B42" s="11" t="inlineStr">
        <is>
          <t>安侯建業聯合會計師事務所</t>
        </is>
      </c>
      <c r="C42" s="11" t="inlineStr">
        <is>
          <t>KPMG 安侯建業</t>
        </is>
      </c>
      <c r="D42" s="11" t="inlineStr">
        <is>
          <t>毛聖崴</t>
        </is>
      </c>
      <c r="E42" s="10" t="inlineStr">
        <is>
          <t>台北總所</t>
        </is>
      </c>
      <c r="F42" s="12" t="inlineStr">
        <is>
          <t>台北市信義區信義路五段7號68樓</t>
        </is>
      </c>
      <c r="G42" s="12" t="inlineStr">
        <is>
          <t>台北市信義區信義路五段7號68樓</t>
        </is>
      </c>
      <c r="H42" s="12" t="inlineStr"/>
      <c r="I42" s="10" t="inlineStr">
        <is>
          <t>114/10/03</t>
        </is>
      </c>
      <c r="J42" s="11" t="inlineStr">
        <is>
          <t>全聯會一字第1140000491號</t>
        </is>
      </c>
      <c r="K42" s="10" t="inlineStr">
        <is>
          <t>北市</t>
        </is>
      </c>
      <c r="L42" s="10" t="inlineStr">
        <is>
          <t>114/10/03</t>
        </is>
      </c>
      <c r="M42" s="10" t="inlineStr">
        <is>
          <t>4847</t>
        </is>
      </c>
      <c r="N42" s="10" t="inlineStr">
        <is>
          <t>2026-06-05</t>
        </is>
      </c>
      <c r="O42" s="11" t="inlineStr">
        <is>
          <t>https://www.roccpa.org.tw/member_search/more?id=7A2F1C7D-FBCA-4850-9F22-9A1A5813DB09</t>
        </is>
      </c>
    </row>
    <row r="43">
      <c r="A43" s="10" t="n">
        <v>42</v>
      </c>
      <c r="B43" s="11" t="inlineStr">
        <is>
          <t>安侯建業聯合會計師事務所</t>
        </is>
      </c>
      <c r="C43" s="11" t="inlineStr">
        <is>
          <t>KPMG 安侯建業</t>
        </is>
      </c>
      <c r="D43" s="11" t="inlineStr">
        <is>
          <t>江家齊</t>
        </is>
      </c>
      <c r="E43" s="10" t="inlineStr">
        <is>
          <t>台北總所</t>
        </is>
      </c>
      <c r="F43" s="12" t="inlineStr">
        <is>
          <t>台北市信義區信義路五段7號68樓</t>
        </is>
      </c>
      <c r="G43" s="12" t="inlineStr">
        <is>
          <t>台北市信義區信義路五段7號68樓</t>
        </is>
      </c>
      <c r="H43" s="12" t="inlineStr"/>
      <c r="I43" s="10" t="inlineStr">
        <is>
          <t>112/02/06</t>
        </is>
      </c>
      <c r="J43" s="11" t="inlineStr">
        <is>
          <t>全聯會一字第1120069</t>
        </is>
      </c>
      <c r="K43" s="10" t="inlineStr">
        <is>
          <t>北市</t>
        </is>
      </c>
      <c r="L43" s="10" t="inlineStr">
        <is>
          <t>112/02/06</t>
        </is>
      </c>
      <c r="M43" s="10" t="inlineStr">
        <is>
          <t>4499</t>
        </is>
      </c>
      <c r="N43" s="10" t="inlineStr">
        <is>
          <t>2026-06-05</t>
        </is>
      </c>
      <c r="O43" s="11" t="inlineStr">
        <is>
          <t>https://www.roccpa.org.tw/member_search/more?id=3A4E76B5-F549-4FE1-8779-A1F6FFD7A62D</t>
        </is>
      </c>
    </row>
    <row r="44">
      <c r="A44" s="10" t="n">
        <v>43</v>
      </c>
      <c r="B44" s="11" t="inlineStr">
        <is>
          <t>安侯建業聯合會計師事務所</t>
        </is>
      </c>
      <c r="C44" s="11" t="inlineStr">
        <is>
          <t>KPMG 安侯建業</t>
        </is>
      </c>
      <c r="D44" s="11" t="inlineStr">
        <is>
          <t>江曉苓</t>
        </is>
      </c>
      <c r="E44" s="10" t="inlineStr">
        <is>
          <t>台北總所</t>
        </is>
      </c>
      <c r="F44" s="12" t="inlineStr">
        <is>
          <t>台北市信義區信義路五段7號68樓</t>
        </is>
      </c>
      <c r="G44" s="12" t="inlineStr">
        <is>
          <t>台北市信義區信義路五段7號68樓</t>
        </is>
      </c>
      <c r="H44" s="12" t="inlineStr"/>
      <c r="I44" s="10" t="inlineStr">
        <is>
          <t>108/01/14</t>
        </is>
      </c>
      <c r="J44" s="11" t="inlineStr">
        <is>
          <t>全聯會一字第1080037</t>
        </is>
      </c>
      <c r="K44" s="10" t="inlineStr">
        <is>
          <t>北市</t>
        </is>
      </c>
      <c r="L44" s="10" t="inlineStr">
        <is>
          <t>108/01/14</t>
        </is>
      </c>
      <c r="M44" s="10" t="inlineStr">
        <is>
          <t>4152</t>
        </is>
      </c>
      <c r="N44" s="10" t="inlineStr">
        <is>
          <t>2026-06-05</t>
        </is>
      </c>
      <c r="O44" s="11" t="inlineStr">
        <is>
          <t>https://www.roccpa.org.tw/member_search/more?id=211AF554-7461-401F-B733-7C5A8A949155</t>
        </is>
      </c>
    </row>
    <row r="45">
      <c r="A45" s="10" t="n">
        <v>44</v>
      </c>
      <c r="B45" s="11" t="inlineStr">
        <is>
          <t>安侯建業聯合會計師事務所</t>
        </is>
      </c>
      <c r="C45" s="11" t="inlineStr">
        <is>
          <t>KPMG 安侯建業</t>
        </is>
      </c>
      <c r="D45" s="11" t="inlineStr">
        <is>
          <t>池世欽</t>
        </is>
      </c>
      <c r="E45" s="10" t="inlineStr">
        <is>
          <t>台北總所</t>
        </is>
      </c>
      <c r="F45" s="12" t="inlineStr">
        <is>
          <t>台北市信義區信義路五段7號68樓</t>
        </is>
      </c>
      <c r="G45" s="12" t="inlineStr">
        <is>
          <t>台北市信義區信義路五段7號68樓</t>
        </is>
      </c>
      <c r="H45" s="12" t="inlineStr"/>
      <c r="I45" s="10" t="inlineStr">
        <is>
          <t>101/12/26</t>
        </is>
      </c>
      <c r="J45" s="11" t="inlineStr">
        <is>
          <t>全聯會一字第1010466</t>
        </is>
      </c>
      <c r="K45" s="10" t="inlineStr">
        <is>
          <t>北市</t>
        </is>
      </c>
      <c r="L45" s="10" t="inlineStr">
        <is>
          <t>101/12/27</t>
        </is>
      </c>
      <c r="M45" s="10" t="inlineStr">
        <is>
          <t>3530</t>
        </is>
      </c>
      <c r="N45" s="10" t="inlineStr">
        <is>
          <t>2026-06-05</t>
        </is>
      </c>
      <c r="O45" s="11" t="inlineStr">
        <is>
          <t>https://www.roccpa.org.tw/member_search/more?id=0A9F12B8-1059-4D9E-BA54-315C11A1CC5A</t>
        </is>
      </c>
    </row>
    <row r="46">
      <c r="A46" s="10" t="n">
        <v>45</v>
      </c>
      <c r="B46" s="11" t="inlineStr">
        <is>
          <t>安侯建業聯合會計師事務所</t>
        </is>
      </c>
      <c r="C46" s="11" t="inlineStr">
        <is>
          <t>KPMG 安侯建業</t>
        </is>
      </c>
      <c r="D46" s="11" t="inlineStr">
        <is>
          <t>洪士剛</t>
        </is>
      </c>
      <c r="E46" s="10" t="inlineStr">
        <is>
          <t>台北總所</t>
        </is>
      </c>
      <c r="F46" s="12" t="inlineStr">
        <is>
          <t>台北市信義區信義路五段7號68樓</t>
        </is>
      </c>
      <c r="G46" s="12" t="inlineStr">
        <is>
          <t>台北市信義區信義路五段7號68樓</t>
        </is>
      </c>
      <c r="H46" s="12" t="inlineStr"/>
      <c r="I46" s="10" t="inlineStr">
        <is>
          <t>111/02/07</t>
        </is>
      </c>
      <c r="J46" s="11" t="inlineStr">
        <is>
          <t>全聯會一字第1110067</t>
        </is>
      </c>
      <c r="K46" s="10" t="inlineStr">
        <is>
          <t>北市</t>
        </is>
      </c>
      <c r="L46" s="10" t="inlineStr">
        <is>
          <t>111/02/07</t>
        </is>
      </c>
      <c r="M46" s="10" t="inlineStr">
        <is>
          <t>4397</t>
        </is>
      </c>
      <c r="N46" s="10" t="inlineStr">
        <is>
          <t>2026-06-05</t>
        </is>
      </c>
      <c r="O46" s="11" t="inlineStr">
        <is>
          <t>https://www.roccpa.org.tw/member_search/more?id=46FBDD0B-ACC6-473D-ACB4-9270C3620927</t>
        </is>
      </c>
    </row>
    <row r="47">
      <c r="A47" s="10" t="n">
        <v>46</v>
      </c>
      <c r="B47" s="11" t="inlineStr">
        <is>
          <t>安侯建業聯合會計師事務所</t>
        </is>
      </c>
      <c r="C47" s="11" t="inlineStr">
        <is>
          <t>KPMG 安侯建業</t>
        </is>
      </c>
      <c r="D47" s="11" t="inlineStr">
        <is>
          <t>洪銘鴻</t>
        </is>
      </c>
      <c r="E47" s="10" t="inlineStr">
        <is>
          <t>台北總所</t>
        </is>
      </c>
      <c r="F47" s="12" t="inlineStr">
        <is>
          <t>台北市信義區信義路五段7號68樓</t>
        </is>
      </c>
      <c r="G47" s="12" t="inlineStr">
        <is>
          <t>台北市信義區信義路五段7號68樓</t>
        </is>
      </c>
      <c r="H47" s="12" t="inlineStr"/>
      <c r="I47" s="10" t="inlineStr">
        <is>
          <t>110/06/28</t>
        </is>
      </c>
      <c r="J47" s="11" t="inlineStr">
        <is>
          <t>全聯會一字第1100266</t>
        </is>
      </c>
      <c r="K47" s="10" t="inlineStr">
        <is>
          <t>北市</t>
        </is>
      </c>
      <c r="L47" s="10" t="inlineStr">
        <is>
          <t>110/06/28</t>
        </is>
      </c>
      <c r="M47" s="10" t="inlineStr">
        <is>
          <t>4356</t>
        </is>
      </c>
      <c r="N47" s="10" t="inlineStr">
        <is>
          <t>2026-06-05</t>
        </is>
      </c>
      <c r="O47" s="11" t="inlineStr">
        <is>
          <t>https://www.roccpa.org.tw/member_search/more?id=C29DEAE4-A08E-434A-B12B-F42A8F415AA7</t>
        </is>
      </c>
    </row>
    <row r="48">
      <c r="A48" s="10" t="n">
        <v>47</v>
      </c>
      <c r="B48" s="11" t="inlineStr">
        <is>
          <t>安侯建業聯合會計師事務所</t>
        </is>
      </c>
      <c r="C48" s="11" t="inlineStr">
        <is>
          <t>KPMG 安侯建業</t>
        </is>
      </c>
      <c r="D48" s="11" t="inlineStr">
        <is>
          <t>游雅絜</t>
        </is>
      </c>
      <c r="E48" s="10" t="inlineStr">
        <is>
          <t>台北總所</t>
        </is>
      </c>
      <c r="F48" s="12" t="inlineStr">
        <is>
          <t>台北市信義區信義路五段7號68樓</t>
        </is>
      </c>
      <c r="G48" s="12" t="inlineStr">
        <is>
          <t>台北市信義區信義路五段7號68樓</t>
        </is>
      </c>
      <c r="H48" s="12" t="inlineStr"/>
      <c r="I48" s="10" t="inlineStr">
        <is>
          <t>108/07/08</t>
        </is>
      </c>
      <c r="J48" s="11" t="inlineStr">
        <is>
          <t>全聯會一字第1080254</t>
        </is>
      </c>
      <c r="K48" s="10" t="inlineStr">
        <is>
          <t>北市</t>
        </is>
      </c>
      <c r="L48" s="10" t="inlineStr">
        <is>
          <t>108/07/08</t>
        </is>
      </c>
      <c r="M48" s="10" t="inlineStr">
        <is>
          <t>4180</t>
        </is>
      </c>
      <c r="N48" s="10" t="inlineStr">
        <is>
          <t>2026-06-05</t>
        </is>
      </c>
      <c r="O48" s="11" t="inlineStr">
        <is>
          <t>https://www.roccpa.org.tw/member_search/more?id=89384992-1693-4FEF-9717-5F5F4AF27F44</t>
        </is>
      </c>
    </row>
    <row r="49">
      <c r="A49" s="10" t="n">
        <v>48</v>
      </c>
      <c r="B49" s="11" t="inlineStr">
        <is>
          <t>安侯建業聯合會計師事務所</t>
        </is>
      </c>
      <c r="C49" s="11" t="inlineStr">
        <is>
          <t>KPMG 安侯建業</t>
        </is>
      </c>
      <c r="D49" s="11" t="inlineStr">
        <is>
          <t>潘俊名</t>
        </is>
      </c>
      <c r="E49" s="10" t="inlineStr">
        <is>
          <t>台北總所</t>
        </is>
      </c>
      <c r="F49" s="12" t="inlineStr">
        <is>
          <t>台北市信義區信義路五段7號68樓</t>
        </is>
      </c>
      <c r="G49" s="12" t="inlineStr">
        <is>
          <t>台北市信義區信義路五段7號68樓</t>
        </is>
      </c>
      <c r="H49" s="12" t="inlineStr"/>
      <c r="I49" s="10" t="inlineStr">
        <is>
          <t>111/02/07</t>
        </is>
      </c>
      <c r="J49" s="11" t="inlineStr">
        <is>
          <t>全聯會一字第1110069</t>
        </is>
      </c>
      <c r="K49" s="10" t="inlineStr">
        <is>
          <t>北市</t>
        </is>
      </c>
      <c r="L49" s="10" t="inlineStr">
        <is>
          <t>111/02/07</t>
        </is>
      </c>
      <c r="M49" s="10" t="inlineStr">
        <is>
          <t>4399</t>
        </is>
      </c>
      <c r="N49" s="10" t="inlineStr">
        <is>
          <t>2026-06-05</t>
        </is>
      </c>
      <c r="O49" s="11" t="inlineStr">
        <is>
          <t>https://www.roccpa.org.tw/member_search/more?id=3955E203-0130-476E-A5AD-02599653CFBF</t>
        </is>
      </c>
    </row>
    <row r="50">
      <c r="A50" s="10" t="n">
        <v>49</v>
      </c>
      <c r="B50" s="11" t="inlineStr">
        <is>
          <t>安侯建業聯合會計師事務所</t>
        </is>
      </c>
      <c r="C50" s="11" t="inlineStr">
        <is>
          <t>KPMG 安侯建業</t>
        </is>
      </c>
      <c r="D50" s="11" t="inlineStr">
        <is>
          <t>王勇勝</t>
        </is>
      </c>
      <c r="E50" s="10" t="inlineStr">
        <is>
          <t>台北總所</t>
        </is>
      </c>
      <c r="F50" s="12" t="inlineStr">
        <is>
          <t>台北市信義區信義路五段7號68樓</t>
        </is>
      </c>
      <c r="G50" s="12" t="inlineStr">
        <is>
          <t>台北市信義區信義路五段7號68樓</t>
        </is>
      </c>
      <c r="H50" s="12" t="inlineStr"/>
      <c r="I50" s="10" t="inlineStr">
        <is>
          <t>104/03/10</t>
        </is>
      </c>
      <c r="J50" s="11" t="inlineStr">
        <is>
          <t>全聯會一字第1040096</t>
        </is>
      </c>
      <c r="K50" s="10" t="inlineStr">
        <is>
          <t>北市</t>
        </is>
      </c>
      <c r="L50" s="10" t="inlineStr">
        <is>
          <t>104/04/13</t>
        </is>
      </c>
      <c r="M50" s="10" t="inlineStr">
        <is>
          <t>3823</t>
        </is>
      </c>
      <c r="N50" s="10" t="inlineStr">
        <is>
          <t>2026-06-05</t>
        </is>
      </c>
      <c r="O50" s="11" t="inlineStr">
        <is>
          <t>https://www.roccpa.org.tw/member_search/more?id=06544F66-030B-4CEC-B9C6-E35426286359</t>
        </is>
      </c>
    </row>
    <row r="51">
      <c r="A51" s="10" t="n">
        <v>50</v>
      </c>
      <c r="B51" s="11" t="inlineStr">
        <is>
          <t>安侯建業聯合會計師事務所</t>
        </is>
      </c>
      <c r="C51" s="11" t="inlineStr">
        <is>
          <t>KPMG 安侯建業</t>
        </is>
      </c>
      <c r="D51" s="11" t="inlineStr">
        <is>
          <t>王怡文</t>
        </is>
      </c>
      <c r="E51" s="10" t="inlineStr">
        <is>
          <t>台北總所</t>
        </is>
      </c>
      <c r="F51" s="12" t="inlineStr">
        <is>
          <t>台北市信義區信義路五段7號68樓</t>
        </is>
      </c>
      <c r="G51" s="12" t="inlineStr">
        <is>
          <t>台北市信義區信義路五段7號68樓</t>
        </is>
      </c>
      <c r="H51" s="12" t="inlineStr"/>
      <c r="I51" s="10" t="inlineStr">
        <is>
          <t>099/02/25</t>
        </is>
      </c>
      <c r="J51" s="11" t="inlineStr">
        <is>
          <t>全聯會一字第09900144</t>
        </is>
      </c>
      <c r="K51" s="10" t="inlineStr">
        <is>
          <t>北市</t>
        </is>
      </c>
      <c r="L51" s="10" t="inlineStr">
        <is>
          <t>099/03/16</t>
        </is>
      </c>
      <c r="M51" s="10" t="inlineStr">
        <is>
          <t>3200</t>
        </is>
      </c>
      <c r="N51" s="10" t="inlineStr">
        <is>
          <t>2026-06-05</t>
        </is>
      </c>
      <c r="O51" s="11" t="inlineStr">
        <is>
          <t>https://www.roccpa.org.tw/member_search/more?id=BAC30F0D-EE58-466A-9780-9FC44C56568A</t>
        </is>
      </c>
    </row>
    <row r="52">
      <c r="A52" s="10" t="n">
        <v>51</v>
      </c>
      <c r="B52" s="11" t="inlineStr">
        <is>
          <t>安侯建業聯合會計師事務所</t>
        </is>
      </c>
      <c r="C52" s="11" t="inlineStr">
        <is>
          <t>KPMG 安侯建業</t>
        </is>
      </c>
      <c r="D52" s="11" t="inlineStr">
        <is>
          <t>王美齡</t>
        </is>
      </c>
      <c r="E52" s="10" t="inlineStr">
        <is>
          <t>台北總所</t>
        </is>
      </c>
      <c r="F52" s="12" t="inlineStr">
        <is>
          <t>台北市信義區信義路五段7號68樓</t>
        </is>
      </c>
      <c r="G52" s="12" t="inlineStr">
        <is>
          <t>台北市信義區信義路五段7號68樓</t>
        </is>
      </c>
      <c r="H52" s="12" t="inlineStr"/>
      <c r="I52" s="10" t="inlineStr">
        <is>
          <t>111/02/07</t>
        </is>
      </c>
      <c r="J52" s="11" t="inlineStr">
        <is>
          <t>全聯會一字第1110071</t>
        </is>
      </c>
      <c r="K52" s="10" t="inlineStr">
        <is>
          <t>北市</t>
        </is>
      </c>
      <c r="L52" s="10" t="inlineStr">
        <is>
          <t>111/02/07</t>
        </is>
      </c>
      <c r="M52" s="10" t="inlineStr">
        <is>
          <t>4401</t>
        </is>
      </c>
      <c r="N52" s="10" t="inlineStr">
        <is>
          <t>2026-06-05</t>
        </is>
      </c>
      <c r="O52" s="11" t="inlineStr">
        <is>
          <t>https://www.roccpa.org.tw/member_search/more?id=62EF3835-5AE7-4898-B0C2-D3AEEDC28BCB</t>
        </is>
      </c>
    </row>
    <row r="53">
      <c r="A53" s="10" t="n">
        <v>52</v>
      </c>
      <c r="B53" s="11" t="inlineStr">
        <is>
          <t>安侯建業聯合會計師事務所</t>
        </is>
      </c>
      <c r="C53" s="11" t="inlineStr">
        <is>
          <t>KPMG 安侯建業</t>
        </is>
      </c>
      <c r="D53" s="11" t="inlineStr">
        <is>
          <t>簡思娟</t>
        </is>
      </c>
      <c r="E53" s="10" t="inlineStr">
        <is>
          <t>台北總所</t>
        </is>
      </c>
      <c r="F53" s="12" t="inlineStr">
        <is>
          <t>台北市信義區信義路五段7號68樓</t>
        </is>
      </c>
      <c r="G53" s="12" t="inlineStr">
        <is>
          <t>台北市信義區信義路五段7號68樓</t>
        </is>
      </c>
      <c r="H53" s="12" t="inlineStr"/>
      <c r="I53" s="10" t="inlineStr">
        <is>
          <t>107/02/05</t>
        </is>
      </c>
      <c r="J53" s="11" t="inlineStr">
        <is>
          <t>全聯會一字第1070075</t>
        </is>
      </c>
      <c r="K53" s="10" t="inlineStr">
        <is>
          <t>北市</t>
        </is>
      </c>
      <c r="L53" s="10" t="inlineStr">
        <is>
          <t>107/02/05</t>
        </is>
      </c>
      <c r="M53" s="10" t="inlineStr">
        <is>
          <t>4072</t>
        </is>
      </c>
      <c r="N53" s="10" t="inlineStr">
        <is>
          <t>2026-06-05</t>
        </is>
      </c>
      <c r="O53" s="11" t="inlineStr">
        <is>
          <t>https://www.roccpa.org.tw/member_search/more?id=711B52F6-066C-4E8E-919B-C5A6A2624D97</t>
        </is>
      </c>
    </row>
    <row r="54">
      <c r="A54" s="10" t="n">
        <v>53</v>
      </c>
      <c r="B54" s="11" t="inlineStr">
        <is>
          <t>安侯建業聯合會計師事務所</t>
        </is>
      </c>
      <c r="C54" s="11" t="inlineStr">
        <is>
          <t>KPMG 安侯建業</t>
        </is>
      </c>
      <c r="D54" s="11" t="inlineStr">
        <is>
          <t>紀孟君</t>
        </is>
      </c>
      <c r="E54" s="10" t="inlineStr">
        <is>
          <t>台北總所</t>
        </is>
      </c>
      <c r="F54" s="12" t="inlineStr">
        <is>
          <t>台北市信義區信義路五段7號68樓</t>
        </is>
      </c>
      <c r="G54" s="12" t="inlineStr">
        <is>
          <t>台北市信義區信義路五段7號68樓</t>
        </is>
      </c>
      <c r="H54" s="12" t="inlineStr"/>
      <c r="I54" s="10" t="inlineStr">
        <is>
          <t>114/01/13</t>
        </is>
      </c>
      <c r="J54" s="11" t="inlineStr">
        <is>
          <t>全聯會一字第1140000035號</t>
        </is>
      </c>
      <c r="K54" s="10" t="inlineStr">
        <is>
          <t>北市</t>
        </is>
      </c>
      <c r="L54" s="10" t="inlineStr">
        <is>
          <t>114/01/13</t>
        </is>
      </c>
      <c r="M54" s="10" t="inlineStr">
        <is>
          <t>4691</t>
        </is>
      </c>
      <c r="N54" s="10" t="inlineStr">
        <is>
          <t>2026-06-05</t>
        </is>
      </c>
      <c r="O54" s="11" t="inlineStr">
        <is>
          <t>https://www.roccpa.org.tw/member_search/more?id=501B2CFA-317F-4BB8-A823-146837F247EC</t>
        </is>
      </c>
    </row>
    <row r="55">
      <c r="A55" s="10" t="n">
        <v>54</v>
      </c>
      <c r="B55" s="11" t="inlineStr">
        <is>
          <t>安侯建業聯合會計師事務所</t>
        </is>
      </c>
      <c r="C55" s="11" t="inlineStr">
        <is>
          <t>KPMG 安侯建業</t>
        </is>
      </c>
      <c r="D55" s="11" t="inlineStr">
        <is>
          <t>羅瑞芝</t>
        </is>
      </c>
      <c r="E55" s="10" t="inlineStr">
        <is>
          <t>台北總所</t>
        </is>
      </c>
      <c r="F55" s="12" t="inlineStr">
        <is>
          <t>台北市信義區信義路五段7號68樓</t>
        </is>
      </c>
      <c r="G55" s="12" t="inlineStr">
        <is>
          <t>台北市信義區信義路五段7號68樓</t>
        </is>
      </c>
      <c r="H55" s="12" t="inlineStr"/>
      <c r="I55" s="10" t="inlineStr">
        <is>
          <t>112/02/06</t>
        </is>
      </c>
      <c r="J55" s="11" t="inlineStr">
        <is>
          <t>全聯會一字第1120066</t>
        </is>
      </c>
      <c r="K55" s="10" t="inlineStr">
        <is>
          <t>北市</t>
        </is>
      </c>
      <c r="L55" s="10" t="inlineStr">
        <is>
          <t>112/02/06</t>
        </is>
      </c>
      <c r="M55" s="10" t="inlineStr">
        <is>
          <t>4496</t>
        </is>
      </c>
      <c r="N55" s="10" t="inlineStr">
        <is>
          <t>2026-06-05</t>
        </is>
      </c>
      <c r="O55" s="11" t="inlineStr">
        <is>
          <t>https://www.roccpa.org.tw/member_search/more?id=08C1477D-9C1C-464B-92A8-9CE99C6936DF</t>
        </is>
      </c>
    </row>
    <row r="56">
      <c r="A56" s="10" t="n">
        <v>55</v>
      </c>
      <c r="B56" s="11" t="inlineStr">
        <is>
          <t>安侯建業聯合會計師事務所</t>
        </is>
      </c>
      <c r="C56" s="11" t="inlineStr">
        <is>
          <t>KPMG 安侯建業</t>
        </is>
      </c>
      <c r="D56" s="11" t="inlineStr">
        <is>
          <t>胡元森</t>
        </is>
      </c>
      <c r="E56" s="10" t="inlineStr">
        <is>
          <t>台北總所</t>
        </is>
      </c>
      <c r="F56" s="12" t="inlineStr">
        <is>
          <t>台北市信義區信義路五段7號68樓</t>
        </is>
      </c>
      <c r="G56" s="12" t="inlineStr">
        <is>
          <t>台北市信義區信義路五段7號68樓</t>
        </is>
      </c>
      <c r="H56" s="12" t="inlineStr"/>
      <c r="I56" s="10" t="inlineStr">
        <is>
          <t>107/07/10</t>
        </is>
      </c>
      <c r="J56" s="11" t="inlineStr">
        <is>
          <t>全聯會一字第1070296</t>
        </is>
      </c>
      <c r="K56" s="10" t="inlineStr">
        <is>
          <t>北市</t>
        </is>
      </c>
      <c r="L56" s="10" t="inlineStr">
        <is>
          <t>107/07/10</t>
        </is>
      </c>
      <c r="M56" s="10" t="inlineStr">
        <is>
          <t>4113</t>
        </is>
      </c>
      <c r="N56" s="10" t="inlineStr">
        <is>
          <t>2026-06-05</t>
        </is>
      </c>
      <c r="O56" s="11" t="inlineStr">
        <is>
          <t>https://www.roccpa.org.tw/member_search/more?id=0BF6A8FC-C854-4F92-A1F2-F9CE1E8FDD69</t>
        </is>
      </c>
    </row>
    <row r="57">
      <c r="A57" s="10" t="n">
        <v>56</v>
      </c>
      <c r="B57" s="11" t="inlineStr">
        <is>
          <t>安侯建業聯合會計師事務所</t>
        </is>
      </c>
      <c r="C57" s="11" t="inlineStr">
        <is>
          <t>KPMG 安侯建業</t>
        </is>
      </c>
      <c r="D57" s="11" t="inlineStr">
        <is>
          <t>莊鈞維</t>
        </is>
      </c>
      <c r="E57" s="10" t="inlineStr">
        <is>
          <t>台北總所</t>
        </is>
      </c>
      <c r="F57" s="12" t="inlineStr">
        <is>
          <t>台北市信義區信義路五段7號68樓</t>
        </is>
      </c>
      <c r="G57" s="12" t="inlineStr">
        <is>
          <t>台北市信義區信義路五段7號68樓</t>
        </is>
      </c>
      <c r="H57" s="12" t="inlineStr"/>
      <c r="I57" s="10" t="inlineStr">
        <is>
          <t>104/03/10</t>
        </is>
      </c>
      <c r="J57" s="11" t="inlineStr">
        <is>
          <t>全聯會一字第1040095</t>
        </is>
      </c>
      <c r="K57" s="10" t="inlineStr">
        <is>
          <t>北市</t>
        </is>
      </c>
      <c r="L57" s="10" t="inlineStr">
        <is>
          <t>104/04/13</t>
        </is>
      </c>
      <c r="M57" s="10" t="inlineStr">
        <is>
          <t>3824</t>
        </is>
      </c>
      <c r="N57" s="10" t="inlineStr">
        <is>
          <t>2026-06-05</t>
        </is>
      </c>
      <c r="O57" s="11" t="inlineStr">
        <is>
          <t>https://www.roccpa.org.tw/member_search/more?id=963CAB08-D780-4386-BD04-D39560B75F20</t>
        </is>
      </c>
    </row>
    <row r="58">
      <c r="A58" s="10" t="n">
        <v>57</v>
      </c>
      <c r="B58" s="11" t="inlineStr">
        <is>
          <t>安侯建業聯合會計師事務所</t>
        </is>
      </c>
      <c r="C58" s="11" t="inlineStr">
        <is>
          <t>KPMG 安侯建業</t>
        </is>
      </c>
      <c r="D58" s="11" t="inlineStr">
        <is>
          <t>葉建郎</t>
        </is>
      </c>
      <c r="E58" s="10" t="inlineStr">
        <is>
          <t>台北總所</t>
        </is>
      </c>
      <c r="F58" s="12" t="inlineStr">
        <is>
          <t>台北市信義區信義路五段7號68樓</t>
        </is>
      </c>
      <c r="G58" s="12" t="inlineStr">
        <is>
          <t>台北市信義區信義路五段7號68樓</t>
        </is>
      </c>
      <c r="H58" s="12" t="inlineStr"/>
      <c r="I58" s="10" t="inlineStr">
        <is>
          <t>111/06/13</t>
        </is>
      </c>
      <c r="J58" s="11" t="inlineStr">
        <is>
          <t>全聯會一字第1110223</t>
        </is>
      </c>
      <c r="K58" s="10" t="inlineStr">
        <is>
          <t>北市</t>
        </is>
      </c>
      <c r="L58" s="10" t="inlineStr">
        <is>
          <t>111/06/13</t>
        </is>
      </c>
      <c r="M58" s="10" t="inlineStr">
        <is>
          <t>4435</t>
        </is>
      </c>
      <c r="N58" s="10" t="inlineStr">
        <is>
          <t>2026-06-05</t>
        </is>
      </c>
      <c r="O58" s="11" t="inlineStr">
        <is>
          <t>https://www.roccpa.org.tw/member_search/more?id=0023BE09-2122-4FF1-A3D5-C4125A869F1A</t>
        </is>
      </c>
    </row>
    <row r="59">
      <c r="A59" s="10" t="n">
        <v>58</v>
      </c>
      <c r="B59" s="11" t="inlineStr">
        <is>
          <t>安侯建業聯合會計師事務所</t>
        </is>
      </c>
      <c r="C59" s="11" t="inlineStr">
        <is>
          <t>KPMG 安侯建業</t>
        </is>
      </c>
      <c r="D59" s="11" t="inlineStr">
        <is>
          <t>蔡佩汝</t>
        </is>
      </c>
      <c r="E59" s="10" t="inlineStr">
        <is>
          <t>台北總所</t>
        </is>
      </c>
      <c r="F59" s="12" t="inlineStr">
        <is>
          <t>台北市信義區信義路五段7號68樓</t>
        </is>
      </c>
      <c r="G59" s="12" t="inlineStr">
        <is>
          <t>台北市信義區信義路五段7號68樓</t>
        </is>
      </c>
      <c r="H59" s="12" t="inlineStr"/>
      <c r="I59" s="10" t="inlineStr">
        <is>
          <t>111/02/07</t>
        </is>
      </c>
      <c r="J59" s="11" t="inlineStr">
        <is>
          <t>全聯會一字第1110068</t>
        </is>
      </c>
      <c r="K59" s="10" t="inlineStr">
        <is>
          <t>北市</t>
        </is>
      </c>
      <c r="L59" s="10" t="inlineStr">
        <is>
          <t>111/02/07</t>
        </is>
      </c>
      <c r="M59" s="10" t="inlineStr">
        <is>
          <t>4398</t>
        </is>
      </c>
      <c r="N59" s="10" t="inlineStr">
        <is>
          <t>2026-06-05</t>
        </is>
      </c>
      <c r="O59" s="11" t="inlineStr">
        <is>
          <t>https://www.roccpa.org.tw/member_search/more?id=7AB06983-C2F3-45CE-8FA9-86F144745150</t>
        </is>
      </c>
    </row>
    <row r="60">
      <c r="A60" s="10" t="n">
        <v>59</v>
      </c>
      <c r="B60" s="11" t="inlineStr">
        <is>
          <t>安侯建業聯合會計師事務所</t>
        </is>
      </c>
      <c r="C60" s="11" t="inlineStr">
        <is>
          <t>KPMG 安侯建業</t>
        </is>
      </c>
      <c r="D60" s="11" t="inlineStr">
        <is>
          <t>蔡孟娟</t>
        </is>
      </c>
      <c r="E60" s="10" t="inlineStr">
        <is>
          <t>台北總所</t>
        </is>
      </c>
      <c r="F60" s="12" t="inlineStr">
        <is>
          <t>台北市信義區信義路五段7號68樓</t>
        </is>
      </c>
      <c r="G60" s="12" t="inlineStr">
        <is>
          <t>台北市信義區信義路五段7號68樓</t>
        </is>
      </c>
      <c r="H60" s="12" t="inlineStr"/>
      <c r="I60" s="10" t="inlineStr">
        <is>
          <t>114/01/13</t>
        </is>
      </c>
      <c r="J60" s="11" t="inlineStr">
        <is>
          <t>全聯會一字第1140000034號</t>
        </is>
      </c>
      <c r="K60" s="10" t="inlineStr">
        <is>
          <t>北市</t>
        </is>
      </c>
      <c r="L60" s="10" t="inlineStr">
        <is>
          <t>114/01/13</t>
        </is>
      </c>
      <c r="M60" s="10" t="inlineStr">
        <is>
          <t>4690</t>
        </is>
      </c>
      <c r="N60" s="10" t="inlineStr">
        <is>
          <t>2026-06-05</t>
        </is>
      </c>
      <c r="O60" s="11" t="inlineStr">
        <is>
          <t>https://www.roccpa.org.tw/member_search/more?id=183EAE08-C3FC-4F4F-864B-A453DE545A33</t>
        </is>
      </c>
    </row>
    <row r="61">
      <c r="A61" s="10" t="n">
        <v>60</v>
      </c>
      <c r="B61" s="11" t="inlineStr">
        <is>
          <t>安侯建業聯合會計師事務所</t>
        </is>
      </c>
      <c r="C61" s="11" t="inlineStr">
        <is>
          <t>KPMG 安侯建業</t>
        </is>
      </c>
      <c r="D61" s="11" t="inlineStr">
        <is>
          <t>蕭佩如</t>
        </is>
      </c>
      <c r="E61" s="10" t="inlineStr">
        <is>
          <t>台北總所</t>
        </is>
      </c>
      <c r="F61" s="12" t="inlineStr">
        <is>
          <t>台北市信義區信義路五段7號68樓</t>
        </is>
      </c>
      <c r="G61" s="12" t="inlineStr">
        <is>
          <t>台北市信義區信義路五段7號68樓</t>
        </is>
      </c>
      <c r="H61" s="12" t="inlineStr"/>
      <c r="I61" s="10" t="inlineStr">
        <is>
          <t>104/01/26</t>
        </is>
      </c>
      <c r="J61" s="11" t="inlineStr">
        <is>
          <t>全聯會一字第1040046</t>
        </is>
      </c>
      <c r="K61" s="10" t="inlineStr">
        <is>
          <t>北市</t>
        </is>
      </c>
      <c r="L61" s="10" t="inlineStr">
        <is>
          <t>104/02/03</t>
        </is>
      </c>
      <c r="M61" s="10" t="inlineStr">
        <is>
          <t>3787</t>
        </is>
      </c>
      <c r="N61" s="10" t="inlineStr">
        <is>
          <t>2026-06-05</t>
        </is>
      </c>
      <c r="O61" s="11" t="inlineStr">
        <is>
          <t>https://www.roccpa.org.tw/member_search/more?id=7EC222C2-D144-4518-A215-4F2DD5ADAF23</t>
        </is>
      </c>
    </row>
    <row r="62">
      <c r="A62" s="10" t="n">
        <v>61</v>
      </c>
      <c r="B62" s="11" t="inlineStr">
        <is>
          <t>安侯建業聯合會計師事務所</t>
        </is>
      </c>
      <c r="C62" s="11" t="inlineStr">
        <is>
          <t>KPMG 安侯建業</t>
        </is>
      </c>
      <c r="D62" s="11" t="inlineStr">
        <is>
          <t>蕭雅文</t>
        </is>
      </c>
      <c r="E62" s="10" t="inlineStr">
        <is>
          <t>台北總所</t>
        </is>
      </c>
      <c r="F62" s="12" t="inlineStr">
        <is>
          <t>台北市信義區信義路五段7號68樓</t>
        </is>
      </c>
      <c r="G62" s="12" t="inlineStr">
        <is>
          <t>台北市信義區信義路五段7號68樓</t>
        </is>
      </c>
      <c r="H62" s="12" t="inlineStr"/>
      <c r="I62" s="10" t="inlineStr">
        <is>
          <t>113/01/15</t>
        </is>
      </c>
      <c r="J62" s="11" t="inlineStr">
        <is>
          <t>全聯會一字第1130000026號</t>
        </is>
      </c>
      <c r="K62" s="10" t="inlineStr">
        <is>
          <t>北市</t>
        </is>
      </c>
      <c r="L62" s="10" t="inlineStr">
        <is>
          <t>113/01/15</t>
        </is>
      </c>
      <c r="M62" s="10" t="inlineStr">
        <is>
          <t>4589</t>
        </is>
      </c>
      <c r="N62" s="10" t="inlineStr">
        <is>
          <t>2026-06-05</t>
        </is>
      </c>
      <c r="O62" s="11" t="inlineStr">
        <is>
          <t>https://www.roccpa.org.tw/member_search/more?id=42D72DC8-C255-4692-9B96-E151A6E5B115</t>
        </is>
      </c>
    </row>
    <row r="63">
      <c r="A63" s="10" t="n">
        <v>62</v>
      </c>
      <c r="B63" s="11" t="inlineStr">
        <is>
          <t>安侯建業聯合會計師事務所</t>
        </is>
      </c>
      <c r="C63" s="11" t="inlineStr">
        <is>
          <t>KPMG 安侯建業</t>
        </is>
      </c>
      <c r="D63" s="11" t="inlineStr">
        <is>
          <t>許明芳</t>
        </is>
      </c>
      <c r="E63" s="10" t="inlineStr">
        <is>
          <t>台北總所</t>
        </is>
      </c>
      <c r="F63" s="12" t="inlineStr">
        <is>
          <t>台北市信義區信義路五段7號68樓</t>
        </is>
      </c>
      <c r="G63" s="12" t="inlineStr">
        <is>
          <t>台北市信義區信義路五段7號68樓</t>
        </is>
      </c>
      <c r="H63" s="12" t="inlineStr"/>
      <c r="I63" s="10" t="inlineStr">
        <is>
          <t>108/01/14</t>
        </is>
      </c>
      <c r="J63" s="11" t="inlineStr">
        <is>
          <t>全聯會一字第1080035</t>
        </is>
      </c>
      <c r="K63" s="10" t="inlineStr">
        <is>
          <t>北市</t>
        </is>
      </c>
      <c r="L63" s="10" t="inlineStr">
        <is>
          <t>108/01/14</t>
        </is>
      </c>
      <c r="M63" s="10" t="inlineStr">
        <is>
          <t>4150</t>
        </is>
      </c>
      <c r="N63" s="10" t="inlineStr">
        <is>
          <t>2026-06-05</t>
        </is>
      </c>
      <c r="O63" s="11" t="inlineStr">
        <is>
          <t>https://www.roccpa.org.tw/member_search/more?id=3BD85872-FAC6-4A16-B5A3-EA1A02B2521B</t>
        </is>
      </c>
    </row>
    <row r="64">
      <c r="A64" s="10" t="n">
        <v>63</v>
      </c>
      <c r="B64" s="11" t="inlineStr">
        <is>
          <t>安侯建業聯合會計師事務所</t>
        </is>
      </c>
      <c r="C64" s="11" t="inlineStr">
        <is>
          <t>KPMG 安侯建業</t>
        </is>
      </c>
      <c r="D64" s="11" t="inlineStr">
        <is>
          <t>許淑敏</t>
        </is>
      </c>
      <c r="E64" s="10" t="inlineStr">
        <is>
          <t>台北總所</t>
        </is>
      </c>
      <c r="F64" s="12" t="inlineStr">
        <is>
          <t>台北市信義區信義路五段7號68樓</t>
        </is>
      </c>
      <c r="G64" s="12" t="inlineStr">
        <is>
          <t>台北市信義區信義路五段7號68樓</t>
        </is>
      </c>
      <c r="H64" s="12" t="inlineStr"/>
      <c r="I64" s="10" t="inlineStr"/>
      <c r="J64" s="11" t="inlineStr"/>
      <c r="K64" s="10" t="inlineStr">
        <is>
          <t>北市</t>
        </is>
      </c>
      <c r="L64" s="10" t="inlineStr">
        <is>
          <t>087/03/04</t>
        </is>
      </c>
      <c r="M64" s="10" t="inlineStr">
        <is>
          <t>2016</t>
        </is>
      </c>
      <c r="N64" s="10" t="inlineStr">
        <is>
          <t>2026-06-05</t>
        </is>
      </c>
      <c r="O64" s="11" t="inlineStr">
        <is>
          <t>https://www.roccpa.org.tw/member_search/more?id=565431CD-211E-424A-9472-7268F139DF2A</t>
        </is>
      </c>
    </row>
    <row r="65">
      <c r="A65" s="10" t="n">
        <v>64</v>
      </c>
      <c r="B65" s="11" t="inlineStr">
        <is>
          <t>安侯建業聯合會計師事務所</t>
        </is>
      </c>
      <c r="C65" s="11" t="inlineStr">
        <is>
          <t>KPMG 安侯建業</t>
        </is>
      </c>
      <c r="D65" s="11" t="inlineStr">
        <is>
          <t>許詩淳</t>
        </is>
      </c>
      <c r="E65" s="10" t="inlineStr">
        <is>
          <t>台北總所</t>
        </is>
      </c>
      <c r="F65" s="12" t="inlineStr">
        <is>
          <t>台北市信義區信義路五段7號68樓</t>
        </is>
      </c>
      <c r="G65" s="12" t="inlineStr">
        <is>
          <t>台北市信義區信義路五段7號68樓</t>
        </is>
      </c>
      <c r="H65" s="12" t="inlineStr"/>
      <c r="I65" s="10" t="inlineStr">
        <is>
          <t>112/02/06</t>
        </is>
      </c>
      <c r="J65" s="11" t="inlineStr">
        <is>
          <t>全聯會一字第1120070</t>
        </is>
      </c>
      <c r="K65" s="10" t="inlineStr">
        <is>
          <t>北市</t>
        </is>
      </c>
      <c r="L65" s="10" t="inlineStr">
        <is>
          <t>112/02/06</t>
        </is>
      </c>
      <c r="M65" s="10" t="inlineStr">
        <is>
          <t>4500</t>
        </is>
      </c>
      <c r="N65" s="10" t="inlineStr">
        <is>
          <t>2026-06-05</t>
        </is>
      </c>
      <c r="O65" s="11" t="inlineStr">
        <is>
          <t>https://www.roccpa.org.tw/member_search/more?id=45B47ED7-5EEB-454B-91D9-25433A70E92D</t>
        </is>
      </c>
    </row>
    <row r="66">
      <c r="A66" s="10" t="n">
        <v>65</v>
      </c>
      <c r="B66" s="11" t="inlineStr">
        <is>
          <t>安侯建業聯合會計師事務所</t>
        </is>
      </c>
      <c r="C66" s="11" t="inlineStr">
        <is>
          <t>KPMG 安侯建業</t>
        </is>
      </c>
      <c r="D66" s="11" t="inlineStr">
        <is>
          <t>謝昌君</t>
        </is>
      </c>
      <c r="E66" s="10" t="inlineStr">
        <is>
          <t>台北總所</t>
        </is>
      </c>
      <c r="F66" s="12" t="inlineStr">
        <is>
          <t>台北市信義區信義路五段7號68樓</t>
        </is>
      </c>
      <c r="G66" s="12" t="inlineStr">
        <is>
          <t>台北市信義區信義路五段7號68樓</t>
        </is>
      </c>
      <c r="H66" s="12" t="inlineStr"/>
      <c r="I66" s="10" t="inlineStr">
        <is>
          <t>113/01/15</t>
        </is>
      </c>
      <c r="J66" s="11" t="inlineStr">
        <is>
          <t>全聯會一字第1130000024號</t>
        </is>
      </c>
      <c r="K66" s="10" t="inlineStr">
        <is>
          <t>北市</t>
        </is>
      </c>
      <c r="L66" s="10" t="inlineStr">
        <is>
          <t>113/01/15</t>
        </is>
      </c>
      <c r="M66" s="10" t="inlineStr">
        <is>
          <t>4587</t>
        </is>
      </c>
      <c r="N66" s="10" t="inlineStr">
        <is>
          <t>2026-06-05</t>
        </is>
      </c>
      <c r="O66" s="11" t="inlineStr">
        <is>
          <t>https://www.roccpa.org.tw/member_search/more?id=7A96AB2A-38B9-4857-A968-3B90D930D14D</t>
        </is>
      </c>
    </row>
    <row r="67">
      <c r="A67" s="10" t="n">
        <v>66</v>
      </c>
      <c r="B67" s="11" t="inlineStr">
        <is>
          <t>安侯建業聯合會計師事務所</t>
        </is>
      </c>
      <c r="C67" s="11" t="inlineStr">
        <is>
          <t>KPMG 安侯建業</t>
        </is>
      </c>
      <c r="D67" s="11" t="inlineStr">
        <is>
          <t>謝秋華</t>
        </is>
      </c>
      <c r="E67" s="10" t="inlineStr">
        <is>
          <t>台北總所</t>
        </is>
      </c>
      <c r="F67" s="12" t="inlineStr">
        <is>
          <t>台北市信義區信義路五段7號68樓</t>
        </is>
      </c>
      <c r="G67" s="12" t="inlineStr">
        <is>
          <t>台北市信義區信義路五段7號68樓</t>
        </is>
      </c>
      <c r="H67" s="12" t="inlineStr"/>
      <c r="I67" s="10" t="inlineStr">
        <is>
          <t>105/08/17</t>
        </is>
      </c>
      <c r="J67" s="11" t="inlineStr">
        <is>
          <t>全聯會一字第1050359</t>
        </is>
      </c>
      <c r="K67" s="10" t="inlineStr">
        <is>
          <t>北市</t>
        </is>
      </c>
      <c r="L67" s="10" t="inlineStr">
        <is>
          <t>105/08/22</t>
        </is>
      </c>
      <c r="M67" s="10" t="inlineStr">
        <is>
          <t>3953</t>
        </is>
      </c>
      <c r="N67" s="10" t="inlineStr">
        <is>
          <t>2026-06-05</t>
        </is>
      </c>
      <c r="O67" s="11" t="inlineStr">
        <is>
          <t>https://www.roccpa.org.tw/member_search/more?id=FB81B8BA-CAF5-42C1-9AC6-73D995E7BB56</t>
        </is>
      </c>
    </row>
    <row r="68">
      <c r="A68" s="10" t="n">
        <v>67</v>
      </c>
      <c r="B68" s="11" t="inlineStr">
        <is>
          <t>安侯建業聯合會計師事務所</t>
        </is>
      </c>
      <c r="C68" s="11" t="inlineStr">
        <is>
          <t>KPMG 安侯建業</t>
        </is>
      </c>
      <c r="D68" s="11" t="inlineStr">
        <is>
          <t>賴麗真</t>
        </is>
      </c>
      <c r="E68" s="10" t="inlineStr">
        <is>
          <t>台北總所</t>
        </is>
      </c>
      <c r="F68" s="12" t="inlineStr">
        <is>
          <t>台北市信義區信義路五段7號68樓</t>
        </is>
      </c>
      <c r="G68" s="12" t="inlineStr">
        <is>
          <t>台北市信義區信義路五段7號68樓</t>
        </is>
      </c>
      <c r="H68" s="12" t="inlineStr"/>
      <c r="I68" s="10" t="inlineStr"/>
      <c r="J68" s="11" t="inlineStr"/>
      <c r="K68" s="10" t="inlineStr">
        <is>
          <t>北市</t>
        </is>
      </c>
      <c r="L68" s="10" t="inlineStr">
        <is>
          <t>087/05/13</t>
        </is>
      </c>
      <c r="M68" s="10" t="inlineStr">
        <is>
          <t>2037</t>
        </is>
      </c>
      <c r="N68" s="10" t="inlineStr">
        <is>
          <t>2026-06-05</t>
        </is>
      </c>
      <c r="O68" s="11" t="inlineStr">
        <is>
          <t>https://www.roccpa.org.tw/member_search/more?id=8F529CF6-47D8-44BF-9420-E27B8A49D630</t>
        </is>
      </c>
    </row>
    <row r="69">
      <c r="A69" s="10" t="n">
        <v>68</v>
      </c>
      <c r="B69" s="11" t="inlineStr">
        <is>
          <t>安侯建業聯合會計師事務所</t>
        </is>
      </c>
      <c r="C69" s="11" t="inlineStr">
        <is>
          <t>KPMG 安侯建業</t>
        </is>
      </c>
      <c r="D69" s="11" t="inlineStr">
        <is>
          <t>趙敏如</t>
        </is>
      </c>
      <c r="E69" s="10" t="inlineStr">
        <is>
          <t>台北總所</t>
        </is>
      </c>
      <c r="F69" s="12" t="inlineStr">
        <is>
          <t>台北市信義區信義路五段7號68樓</t>
        </is>
      </c>
      <c r="G69" s="12" t="inlineStr">
        <is>
          <t>台北市信義區信義路五段7號68樓</t>
        </is>
      </c>
      <c r="H69" s="12" t="inlineStr"/>
      <c r="I69" s="10" t="inlineStr">
        <is>
          <t>105/08/17</t>
        </is>
      </c>
      <c r="J69" s="11" t="inlineStr">
        <is>
          <t>全聯會一字第1050358</t>
        </is>
      </c>
      <c r="K69" s="10" t="inlineStr">
        <is>
          <t>北市</t>
        </is>
      </c>
      <c r="L69" s="10" t="inlineStr">
        <is>
          <t>105/08/22</t>
        </is>
      </c>
      <c r="M69" s="10" t="inlineStr">
        <is>
          <t>3954</t>
        </is>
      </c>
      <c r="N69" s="10" t="inlineStr">
        <is>
          <t>2026-06-05</t>
        </is>
      </c>
      <c r="O69" s="11" t="inlineStr">
        <is>
          <t>https://www.roccpa.org.tw/member_search/more?id=28302896-B885-4141-B539-9DF520870716</t>
        </is>
      </c>
    </row>
    <row r="70">
      <c r="A70" s="10" t="n">
        <v>69</v>
      </c>
      <c r="B70" s="11" t="inlineStr">
        <is>
          <t>安侯建業聯合會計師事務所</t>
        </is>
      </c>
      <c r="C70" s="11" t="inlineStr">
        <is>
          <t>KPMG 安侯建業</t>
        </is>
      </c>
      <c r="D70" s="11" t="inlineStr">
        <is>
          <t>辛郁婷</t>
        </is>
      </c>
      <c r="E70" s="10" t="inlineStr">
        <is>
          <t>台北總所</t>
        </is>
      </c>
      <c r="F70" s="12" t="inlineStr">
        <is>
          <t>台北市信義區信義路五段7號68樓</t>
        </is>
      </c>
      <c r="G70" s="12" t="inlineStr">
        <is>
          <t>台北市信義區信義路五段7號68樓</t>
        </is>
      </c>
      <c r="H70" s="12" t="inlineStr"/>
      <c r="I70" s="10" t="inlineStr">
        <is>
          <t>112/02/06</t>
        </is>
      </c>
      <c r="J70" s="11" t="inlineStr">
        <is>
          <t>全聯會一字第1120065</t>
        </is>
      </c>
      <c r="K70" s="10" t="inlineStr">
        <is>
          <t>北市</t>
        </is>
      </c>
      <c r="L70" s="10" t="inlineStr">
        <is>
          <t>112/02/06</t>
        </is>
      </c>
      <c r="M70" s="10" t="inlineStr">
        <is>
          <t>4495</t>
        </is>
      </c>
      <c r="N70" s="10" t="inlineStr">
        <is>
          <t>2026-06-05</t>
        </is>
      </c>
      <c r="O70" s="11" t="inlineStr">
        <is>
          <t>https://www.roccpa.org.tw/member_search/more?id=AE827E5F-CD09-4C11-968D-ACD781785F52</t>
        </is>
      </c>
    </row>
    <row r="71">
      <c r="A71" s="10" t="n">
        <v>70</v>
      </c>
      <c r="B71" s="11" t="inlineStr">
        <is>
          <t>安侯建業聯合會計師事務所</t>
        </is>
      </c>
      <c r="C71" s="11" t="inlineStr">
        <is>
          <t>KPMG 安侯建業</t>
        </is>
      </c>
      <c r="D71" s="11" t="inlineStr">
        <is>
          <t>連淑凌</t>
        </is>
      </c>
      <c r="E71" s="10" t="inlineStr">
        <is>
          <t>台北總所</t>
        </is>
      </c>
      <c r="F71" s="12" t="inlineStr">
        <is>
          <t>台北市信義區信義路五段7號68樓</t>
        </is>
      </c>
      <c r="G71" s="12" t="inlineStr">
        <is>
          <t>台北市信義區信義路五段7號68樓</t>
        </is>
      </c>
      <c r="H71" s="12" t="inlineStr"/>
      <c r="I71" s="10" t="inlineStr"/>
      <c r="J71" s="11" t="inlineStr"/>
      <c r="K71" s="10" t="inlineStr">
        <is>
          <t>北市</t>
        </is>
      </c>
      <c r="L71" s="10" t="inlineStr">
        <is>
          <t>087/03/04</t>
        </is>
      </c>
      <c r="M71" s="10" t="inlineStr">
        <is>
          <t>2017</t>
        </is>
      </c>
      <c r="N71" s="10" t="inlineStr">
        <is>
          <t>2026-06-05</t>
        </is>
      </c>
      <c r="O71" s="11" t="inlineStr">
        <is>
          <t>https://www.roccpa.org.tw/member_search/more?id=9ABB93CB-A0A5-4710-93AB-8F2BCF2DDBF7</t>
        </is>
      </c>
    </row>
    <row r="72">
      <c r="A72" s="10" t="n">
        <v>71</v>
      </c>
      <c r="B72" s="11" t="inlineStr">
        <is>
          <t>安侯建業聯合會計師事務所</t>
        </is>
      </c>
      <c r="C72" s="11" t="inlineStr">
        <is>
          <t>KPMG 安侯建業</t>
        </is>
      </c>
      <c r="D72" s="11" t="inlineStr">
        <is>
          <t>郭仰倫</t>
        </is>
      </c>
      <c r="E72" s="10" t="inlineStr">
        <is>
          <t>台北總所</t>
        </is>
      </c>
      <c r="F72" s="12" t="inlineStr">
        <is>
          <t>台北市信義區信義路五段7號68樓</t>
        </is>
      </c>
      <c r="G72" s="12" t="inlineStr">
        <is>
          <t>台北市信義區信義路五段7號68樓</t>
        </is>
      </c>
      <c r="H72" s="12" t="inlineStr"/>
      <c r="I72" s="10" t="inlineStr">
        <is>
          <t>112/02/06</t>
        </is>
      </c>
      <c r="J72" s="11" t="inlineStr">
        <is>
          <t>全聯會一字第1120068</t>
        </is>
      </c>
      <c r="K72" s="10" t="inlineStr">
        <is>
          <t>北市</t>
        </is>
      </c>
      <c r="L72" s="10" t="inlineStr">
        <is>
          <t>112/02/06</t>
        </is>
      </c>
      <c r="M72" s="10" t="inlineStr">
        <is>
          <t>4498</t>
        </is>
      </c>
      <c r="N72" s="10" t="inlineStr">
        <is>
          <t>2026-06-05</t>
        </is>
      </c>
      <c r="O72" s="11" t="inlineStr">
        <is>
          <t>https://www.roccpa.org.tw/member_search/more?id=41C4770B-B622-40AB-A377-52E6F278D123</t>
        </is>
      </c>
    </row>
    <row r="73">
      <c r="A73" s="10" t="n">
        <v>72</v>
      </c>
      <c r="B73" s="11" t="inlineStr">
        <is>
          <t>安侯建業聯合會計師事務所</t>
        </is>
      </c>
      <c r="C73" s="11" t="inlineStr">
        <is>
          <t>KPMG 安侯建業</t>
        </is>
      </c>
      <c r="D73" s="11" t="inlineStr">
        <is>
          <t>郭冠纓</t>
        </is>
      </c>
      <c r="E73" s="10" t="inlineStr">
        <is>
          <t>台北總所</t>
        </is>
      </c>
      <c r="F73" s="12" t="inlineStr">
        <is>
          <t>台北市信義區信義路五段7號68樓</t>
        </is>
      </c>
      <c r="G73" s="12" t="inlineStr">
        <is>
          <t>台北市信義區信義路五段7號68樓</t>
        </is>
      </c>
      <c r="H73" s="12" t="inlineStr"/>
      <c r="I73" s="10" t="inlineStr">
        <is>
          <t>101/01/19</t>
        </is>
      </c>
      <c r="J73" s="11" t="inlineStr">
        <is>
          <t>全聯會一字第1010023</t>
        </is>
      </c>
      <c r="K73" s="10" t="inlineStr">
        <is>
          <t>北市</t>
        </is>
      </c>
      <c r="L73" s="10" t="inlineStr">
        <is>
          <t>101/02/06</t>
        </is>
      </c>
      <c r="M73" s="10" t="inlineStr">
        <is>
          <t>3421</t>
        </is>
      </c>
      <c r="N73" s="10" t="inlineStr">
        <is>
          <t>2026-06-05</t>
        </is>
      </c>
      <c r="O73" s="11" t="inlineStr">
        <is>
          <t>https://www.roccpa.org.tw/member_search/more?id=A51D0820-AB9B-4DE0-9455-8A6E883BF03E</t>
        </is>
      </c>
    </row>
    <row r="74">
      <c r="A74" s="10" t="n">
        <v>73</v>
      </c>
      <c r="B74" s="11" t="inlineStr">
        <is>
          <t>安侯建業聯合會計師事務所</t>
        </is>
      </c>
      <c r="C74" s="11" t="inlineStr">
        <is>
          <t>KPMG 安侯建業</t>
        </is>
      </c>
      <c r="D74" s="11" t="inlineStr">
        <is>
          <t>郭士華</t>
        </is>
      </c>
      <c r="E74" s="10" t="inlineStr">
        <is>
          <t>台北總所</t>
        </is>
      </c>
      <c r="F74" s="12" t="inlineStr">
        <is>
          <t>台北市信義區信義路五段7號68樓</t>
        </is>
      </c>
      <c r="G74" s="12" t="inlineStr">
        <is>
          <t>台北市信義區信義路五段7號68樓</t>
        </is>
      </c>
      <c r="H74" s="12" t="inlineStr"/>
      <c r="I74" s="10" t="inlineStr"/>
      <c r="J74" s="11" t="inlineStr"/>
      <c r="K74" s="10" t="inlineStr">
        <is>
          <t>中市</t>
        </is>
      </c>
      <c r="L74" s="10" t="inlineStr">
        <is>
          <t>100/08/24</t>
        </is>
      </c>
      <c r="M74" s="10" t="inlineStr">
        <is>
          <t>46</t>
        </is>
      </c>
      <c r="N74" s="10" t="inlineStr">
        <is>
          <t>2026-06-05</t>
        </is>
      </c>
      <c r="O74" s="11" t="inlineStr">
        <is>
          <t>https://www.roccpa.org.tw/member_search/more?id=989F6D0F-3018-4C21-A6AD-97C2A176D782</t>
        </is>
      </c>
    </row>
    <row r="75">
      <c r="A75" s="10" t="n">
        <v>74</v>
      </c>
      <c r="B75" s="11" t="inlineStr">
        <is>
          <t>安侯建業聯合會計師事務所</t>
        </is>
      </c>
      <c r="C75" s="11" t="inlineStr">
        <is>
          <t>KPMG 安侯建業</t>
        </is>
      </c>
      <c r="D75" s="11" t="inlineStr">
        <is>
          <t>郭柔蘭</t>
        </is>
      </c>
      <c r="E75" s="10" t="inlineStr">
        <is>
          <t>台北總所</t>
        </is>
      </c>
      <c r="F75" s="12" t="inlineStr">
        <is>
          <t>台北市信義區信義路五段7號68樓</t>
        </is>
      </c>
      <c r="G75" s="12" t="inlineStr">
        <is>
          <t>台北市信義區信義路五段7號68樓</t>
        </is>
      </c>
      <c r="H75" s="12" t="inlineStr"/>
      <c r="I75" s="10" t="inlineStr">
        <is>
          <t>107/02/05</t>
        </is>
      </c>
      <c r="J75" s="11" t="inlineStr">
        <is>
          <t>全聯會一字第1070076</t>
        </is>
      </c>
      <c r="K75" s="10" t="inlineStr">
        <is>
          <t>北市</t>
        </is>
      </c>
      <c r="L75" s="10" t="inlineStr">
        <is>
          <t>107/02/05</t>
        </is>
      </c>
      <c r="M75" s="10" t="inlineStr">
        <is>
          <t>4073</t>
        </is>
      </c>
      <c r="N75" s="10" t="inlineStr">
        <is>
          <t>2026-06-05</t>
        </is>
      </c>
      <c r="O75" s="11" t="inlineStr">
        <is>
          <t>https://www.roccpa.org.tw/member_search/more?id=DDFC2873-7DCC-4C23-A795-7A3753F9C0CF</t>
        </is>
      </c>
    </row>
    <row r="76">
      <c r="A76" s="10" t="n">
        <v>75</v>
      </c>
      <c r="B76" s="11" t="inlineStr">
        <is>
          <t>安侯建業聯合會計師事務所</t>
        </is>
      </c>
      <c r="C76" s="11" t="inlineStr">
        <is>
          <t>KPMG 安侯建業</t>
        </is>
      </c>
      <c r="D76" s="11" t="inlineStr">
        <is>
          <t>郭欣頤</t>
        </is>
      </c>
      <c r="E76" s="10" t="inlineStr">
        <is>
          <t>台北總所</t>
        </is>
      </c>
      <c r="F76" s="12" t="inlineStr">
        <is>
          <t>台北市信義區信義路五段7號68樓</t>
        </is>
      </c>
      <c r="G76" s="12" t="inlineStr">
        <is>
          <t>台北市信義區信義路五段7號68樓</t>
        </is>
      </c>
      <c r="H76" s="12" t="inlineStr"/>
      <c r="I76" s="10" t="inlineStr">
        <is>
          <t>104/01/26</t>
        </is>
      </c>
      <c r="J76" s="11" t="inlineStr">
        <is>
          <t>全聯會一字第1040045</t>
        </is>
      </c>
      <c r="K76" s="10" t="inlineStr">
        <is>
          <t>北市</t>
        </is>
      </c>
      <c r="L76" s="10" t="inlineStr">
        <is>
          <t>104/02/03</t>
        </is>
      </c>
      <c r="M76" s="10" t="inlineStr">
        <is>
          <t>3786</t>
        </is>
      </c>
      <c r="N76" s="10" t="inlineStr">
        <is>
          <t>2026-06-05</t>
        </is>
      </c>
      <c r="O76" s="11" t="inlineStr">
        <is>
          <t>https://www.roccpa.org.tw/member_search/more?id=9402805F-1A08-4EE3-901C-D074AFEF7471</t>
        </is>
      </c>
    </row>
    <row r="77">
      <c r="A77" s="10" t="n">
        <v>76</v>
      </c>
      <c r="B77" s="11" t="inlineStr">
        <is>
          <t>安侯建業聯合會計師事務所</t>
        </is>
      </c>
      <c r="C77" s="11" t="inlineStr">
        <is>
          <t>KPMG 安侯建業</t>
        </is>
      </c>
      <c r="D77" s="11" t="inlineStr">
        <is>
          <t>鄒依芸</t>
        </is>
      </c>
      <c r="E77" s="10" t="inlineStr">
        <is>
          <t>台北總所</t>
        </is>
      </c>
      <c r="F77" s="12" t="inlineStr">
        <is>
          <t>台北市信義區信義路五段7號68樓</t>
        </is>
      </c>
      <c r="G77" s="12" t="inlineStr">
        <is>
          <t>台北市信義區信義路五段7號68樓</t>
        </is>
      </c>
      <c r="H77" s="12" t="inlineStr"/>
      <c r="I77" s="10" t="inlineStr">
        <is>
          <t>113/01/15</t>
        </is>
      </c>
      <c r="J77" s="11" t="inlineStr">
        <is>
          <t>全聯會一字第1130000027號</t>
        </is>
      </c>
      <c r="K77" s="10" t="inlineStr">
        <is>
          <t>北市</t>
        </is>
      </c>
      <c r="L77" s="10" t="inlineStr">
        <is>
          <t>113/01/15</t>
        </is>
      </c>
      <c r="M77" s="10" t="inlineStr">
        <is>
          <t>4590</t>
        </is>
      </c>
      <c r="N77" s="10" t="inlineStr">
        <is>
          <t>2026-06-05</t>
        </is>
      </c>
      <c r="O77" s="11" t="inlineStr">
        <is>
          <t>https://www.roccpa.org.tw/member_search/more?id=28EE2E7E-A03B-44E1-882C-61E75354AA62</t>
        </is>
      </c>
    </row>
    <row r="78">
      <c r="A78" s="10" t="n">
        <v>77</v>
      </c>
      <c r="B78" s="11" t="inlineStr">
        <is>
          <t>安侯建業聯合會計師事務所</t>
        </is>
      </c>
      <c r="C78" s="11" t="inlineStr">
        <is>
          <t>KPMG 安侯建業</t>
        </is>
      </c>
      <c r="D78" s="11" t="inlineStr">
        <is>
          <t>鄭博仁</t>
        </is>
      </c>
      <c r="E78" s="10" t="inlineStr">
        <is>
          <t>台北總所</t>
        </is>
      </c>
      <c r="F78" s="12" t="inlineStr">
        <is>
          <t>台北市信義區信義路五段7號68樓</t>
        </is>
      </c>
      <c r="G78" s="12" t="inlineStr">
        <is>
          <t>台北市信義區信義路五段7號68樓</t>
        </is>
      </c>
      <c r="H78" s="12" t="inlineStr"/>
      <c r="I78" s="10" t="inlineStr">
        <is>
          <t>114/01/13</t>
        </is>
      </c>
      <c r="J78" s="11" t="inlineStr">
        <is>
          <t>全聯會一字第1140000039號</t>
        </is>
      </c>
      <c r="K78" s="10" t="inlineStr">
        <is>
          <t>北市</t>
        </is>
      </c>
      <c r="L78" s="10" t="inlineStr">
        <is>
          <t>114/01/13</t>
        </is>
      </c>
      <c r="M78" s="10" t="inlineStr">
        <is>
          <t>4695</t>
        </is>
      </c>
      <c r="N78" s="10" t="inlineStr">
        <is>
          <t>2026-06-05</t>
        </is>
      </c>
      <c r="O78" s="11" t="inlineStr">
        <is>
          <t>https://www.roccpa.org.tw/member_search/more?id=42873A43-3B61-4F98-8F68-279270A24EF4</t>
        </is>
      </c>
    </row>
    <row r="79">
      <c r="A79" s="10" t="n">
        <v>78</v>
      </c>
      <c r="B79" s="11" t="inlineStr">
        <is>
          <t>安侯建業聯合會計師事務所</t>
        </is>
      </c>
      <c r="C79" s="11" t="inlineStr">
        <is>
          <t>KPMG 安侯建業</t>
        </is>
      </c>
      <c r="D79" s="11" t="inlineStr">
        <is>
          <t>陳俊光</t>
        </is>
      </c>
      <c r="E79" s="10" t="inlineStr">
        <is>
          <t>台北總所</t>
        </is>
      </c>
      <c r="F79" s="12" t="inlineStr">
        <is>
          <t>台北市信義區信義路五段7號68樓</t>
        </is>
      </c>
      <c r="G79" s="12" t="inlineStr">
        <is>
          <t>台北市信義區信義路五段7號68樓</t>
        </is>
      </c>
      <c r="H79" s="12" t="inlineStr"/>
      <c r="I79" s="10" t="inlineStr">
        <is>
          <t>101/12/26</t>
        </is>
      </c>
      <c r="J79" s="11" t="inlineStr">
        <is>
          <t>全聯會一字第1010467</t>
        </is>
      </c>
      <c r="K79" s="10" t="inlineStr">
        <is>
          <t>北市</t>
        </is>
      </c>
      <c r="L79" s="10" t="inlineStr">
        <is>
          <t>101/12/27</t>
        </is>
      </c>
      <c r="M79" s="10" t="inlineStr">
        <is>
          <t>3531</t>
        </is>
      </c>
      <c r="N79" s="10" t="inlineStr">
        <is>
          <t>2026-06-05</t>
        </is>
      </c>
      <c r="O79" s="11" t="inlineStr">
        <is>
          <t>https://www.roccpa.org.tw/member_search/more?id=491E50BB-3BF9-4405-ADE6-7962B2D543B6</t>
        </is>
      </c>
    </row>
    <row r="80">
      <c r="A80" s="10" t="n">
        <v>79</v>
      </c>
      <c r="B80" s="11" t="inlineStr">
        <is>
          <t>安侯建業聯合會計師事務所</t>
        </is>
      </c>
      <c r="C80" s="11" t="inlineStr">
        <is>
          <t>KPMG 安侯建業</t>
        </is>
      </c>
      <c r="D80" s="11" t="inlineStr">
        <is>
          <t>陳奕任</t>
        </is>
      </c>
      <c r="E80" s="10" t="inlineStr">
        <is>
          <t>台北總所</t>
        </is>
      </c>
      <c r="F80" s="12" t="inlineStr">
        <is>
          <t>台北市信義區信義路五段7號68樓</t>
        </is>
      </c>
      <c r="G80" s="12" t="inlineStr">
        <is>
          <t>台北市信義區信義路五段7號68樓</t>
        </is>
      </c>
      <c r="H80" s="12" t="inlineStr"/>
      <c r="I80" s="10" t="inlineStr">
        <is>
          <t>110/01/27</t>
        </is>
      </c>
      <c r="J80" s="11" t="inlineStr">
        <is>
          <t>全聯會一字第1100043</t>
        </is>
      </c>
      <c r="K80" s="10" t="inlineStr">
        <is>
          <t>北市</t>
        </is>
      </c>
      <c r="L80" s="10" t="inlineStr">
        <is>
          <t>110/01/27</t>
        </is>
      </c>
      <c r="M80" s="10" t="inlineStr">
        <is>
          <t>4298</t>
        </is>
      </c>
      <c r="N80" s="10" t="inlineStr">
        <is>
          <t>2026-06-05</t>
        </is>
      </c>
      <c r="O80" s="11" t="inlineStr">
        <is>
          <t>https://www.roccpa.org.tw/member_search/more?id=2A7CD374-A8E1-43E9-87CD-D3E3630C4B59</t>
        </is>
      </c>
    </row>
    <row r="81">
      <c r="A81" s="10" t="n">
        <v>80</v>
      </c>
      <c r="B81" s="11" t="inlineStr">
        <is>
          <t>安侯建業聯合會計師事務所</t>
        </is>
      </c>
      <c r="C81" s="11" t="inlineStr">
        <is>
          <t>KPMG 安侯建業</t>
        </is>
      </c>
      <c r="D81" s="11" t="inlineStr">
        <is>
          <t>陳宗哲</t>
        </is>
      </c>
      <c r="E81" s="10" t="inlineStr">
        <is>
          <t>台北總所</t>
        </is>
      </c>
      <c r="F81" s="12" t="inlineStr">
        <is>
          <t>台北市信義區信義路五段7號68樓</t>
        </is>
      </c>
      <c r="G81" s="12" t="inlineStr">
        <is>
          <t>台北市信義區信義路五段7號68樓</t>
        </is>
      </c>
      <c r="H81" s="12" t="inlineStr"/>
      <c r="I81" s="10" t="inlineStr">
        <is>
          <t>100/03/14</t>
        </is>
      </c>
      <c r="J81" s="11" t="inlineStr">
        <is>
          <t>全聯會一字第1000093</t>
        </is>
      </c>
      <c r="K81" s="10" t="inlineStr">
        <is>
          <t>北市</t>
        </is>
      </c>
      <c r="L81" s="10" t="inlineStr">
        <is>
          <t>100/03/16</t>
        </is>
      </c>
      <c r="M81" s="10" t="inlineStr">
        <is>
          <t>3328</t>
        </is>
      </c>
      <c r="N81" s="10" t="inlineStr">
        <is>
          <t>2026-06-05</t>
        </is>
      </c>
      <c r="O81" s="11" t="inlineStr">
        <is>
          <t>https://www.roccpa.org.tw/member_search/more?id=41984C21-208E-46C6-8209-3DD0AE586AA8</t>
        </is>
      </c>
    </row>
    <row r="82">
      <c r="A82" s="10" t="n">
        <v>81</v>
      </c>
      <c r="B82" s="11" t="inlineStr">
        <is>
          <t>安侯建業聯合會計師事務所</t>
        </is>
      </c>
      <c r="C82" s="11" t="inlineStr">
        <is>
          <t>KPMG 安侯建業</t>
        </is>
      </c>
      <c r="D82" s="11" t="inlineStr">
        <is>
          <t>陳宜君</t>
        </is>
      </c>
      <c r="E82" s="10" t="inlineStr">
        <is>
          <t>台北總所</t>
        </is>
      </c>
      <c r="F82" s="12" t="inlineStr">
        <is>
          <t>台北市信義區信義路五段7號68樓</t>
        </is>
      </c>
      <c r="G82" s="12" t="inlineStr">
        <is>
          <t>台北市信義區信義路五段7號68樓</t>
        </is>
      </c>
      <c r="H82" s="12" t="inlineStr"/>
      <c r="I82" s="10" t="inlineStr">
        <is>
          <t>100/03/14</t>
        </is>
      </c>
      <c r="J82" s="11" t="inlineStr">
        <is>
          <t>全聯會一字第1000091</t>
        </is>
      </c>
      <c r="K82" s="10" t="inlineStr">
        <is>
          <t>北市</t>
        </is>
      </c>
      <c r="L82" s="10" t="inlineStr">
        <is>
          <t>100/03/16</t>
        </is>
      </c>
      <c r="M82" s="10" t="inlineStr">
        <is>
          <t>3330</t>
        </is>
      </c>
      <c r="N82" s="10" t="inlineStr">
        <is>
          <t>2026-06-05</t>
        </is>
      </c>
      <c r="O82" s="11" t="inlineStr">
        <is>
          <t>https://www.roccpa.org.tw/member_search/more?id=DBC79649-D78A-4FE6-96FF-1F659C85D314</t>
        </is>
      </c>
    </row>
    <row r="83">
      <c r="A83" s="10" t="n">
        <v>82</v>
      </c>
      <c r="B83" s="11" t="inlineStr">
        <is>
          <t>安侯建業聯合會計師事務所</t>
        </is>
      </c>
      <c r="C83" s="11" t="inlineStr">
        <is>
          <t>KPMG 安侯建業</t>
        </is>
      </c>
      <c r="D83" s="11" t="inlineStr">
        <is>
          <t>陳家程</t>
        </is>
      </c>
      <c r="E83" s="10" t="inlineStr">
        <is>
          <t>台北總所</t>
        </is>
      </c>
      <c r="F83" s="12" t="inlineStr">
        <is>
          <t>台北市信義區信義路五段7號68樓</t>
        </is>
      </c>
      <c r="G83" s="12" t="inlineStr">
        <is>
          <t>台北市信義區信義路五段7號68樓</t>
        </is>
      </c>
      <c r="H83" s="12" t="inlineStr"/>
      <c r="I83" s="10" t="inlineStr">
        <is>
          <t>109/11/03</t>
        </is>
      </c>
      <c r="J83" s="11" t="inlineStr">
        <is>
          <t>全聯會一字第1090421</t>
        </is>
      </c>
      <c r="K83" s="10" t="inlineStr">
        <is>
          <t>北市</t>
        </is>
      </c>
      <c r="L83" s="10" t="inlineStr">
        <is>
          <t>109/11/03</t>
        </is>
      </c>
      <c r="M83" s="10" t="inlineStr">
        <is>
          <t>4280</t>
        </is>
      </c>
      <c r="N83" s="10" t="inlineStr">
        <is>
          <t>2026-06-05</t>
        </is>
      </c>
      <c r="O83" s="11" t="inlineStr">
        <is>
          <t>https://www.roccpa.org.tw/member_search/more?id=07765F73-DDAF-4439-BDE8-9C10F21DF8A4</t>
        </is>
      </c>
    </row>
    <row r="84">
      <c r="A84" s="10" t="n">
        <v>83</v>
      </c>
      <c r="B84" s="11" t="inlineStr">
        <is>
          <t>安侯建業聯合會計師事務所</t>
        </is>
      </c>
      <c r="C84" s="11" t="inlineStr">
        <is>
          <t>KPMG 安侯建業</t>
        </is>
      </c>
      <c r="D84" s="11" t="inlineStr">
        <is>
          <t>陳富仁</t>
        </is>
      </c>
      <c r="E84" s="10" t="inlineStr">
        <is>
          <t>台北總所</t>
        </is>
      </c>
      <c r="F84" s="12" t="inlineStr">
        <is>
          <t>台北市信義區信義路五段7號68樓</t>
        </is>
      </c>
      <c r="G84" s="12" t="inlineStr">
        <is>
          <t>台北市信義區信義路五段7號68樓</t>
        </is>
      </c>
      <c r="H84" s="12" t="inlineStr"/>
      <c r="I84" s="10" t="inlineStr">
        <is>
          <t>108/01/14</t>
        </is>
      </c>
      <c r="J84" s="11" t="inlineStr">
        <is>
          <t>全聯會一字第1080036</t>
        </is>
      </c>
      <c r="K84" s="10" t="inlineStr">
        <is>
          <t>北市</t>
        </is>
      </c>
      <c r="L84" s="10" t="inlineStr">
        <is>
          <t>108/01/14</t>
        </is>
      </c>
      <c r="M84" s="10" t="inlineStr">
        <is>
          <t>4151</t>
        </is>
      </c>
      <c r="N84" s="10" t="inlineStr">
        <is>
          <t>2026-06-05</t>
        </is>
      </c>
      <c r="O84" s="11" t="inlineStr">
        <is>
          <t>https://www.roccpa.org.tw/member_search/more?id=6650E375-3374-4CB1-B525-3C4C1DD41AF4</t>
        </is>
      </c>
    </row>
    <row r="85">
      <c r="A85" s="10" t="n">
        <v>84</v>
      </c>
      <c r="B85" s="11" t="inlineStr">
        <is>
          <t>安侯建業聯合會計師事務所</t>
        </is>
      </c>
      <c r="C85" s="11" t="inlineStr">
        <is>
          <t>KPMG 安侯建業</t>
        </is>
      </c>
      <c r="D85" s="11" t="inlineStr">
        <is>
          <t>陳彥富</t>
        </is>
      </c>
      <c r="E85" s="10" t="inlineStr">
        <is>
          <t>台北總所</t>
        </is>
      </c>
      <c r="F85" s="12" t="inlineStr">
        <is>
          <t>台北市信義區信義路五段7號68樓</t>
        </is>
      </c>
      <c r="G85" s="12" t="inlineStr">
        <is>
          <t>台北市信義區信義路五段7號68樓</t>
        </is>
      </c>
      <c r="H85" s="12" t="inlineStr"/>
      <c r="I85" s="10" t="inlineStr">
        <is>
          <t>103/11/04</t>
        </is>
      </c>
      <c r="J85" s="11" t="inlineStr">
        <is>
          <t>全聯會一字第103425</t>
        </is>
      </c>
      <c r="K85" s="10" t="inlineStr">
        <is>
          <t>北市</t>
        </is>
      </c>
      <c r="L85" s="10" t="inlineStr">
        <is>
          <t>103/11/19</t>
        </is>
      </c>
      <c r="M85" s="10" t="inlineStr">
        <is>
          <t>3754</t>
        </is>
      </c>
      <c r="N85" s="10" t="inlineStr">
        <is>
          <t>2026-06-05</t>
        </is>
      </c>
      <c r="O85" s="11" t="inlineStr">
        <is>
          <t>https://www.roccpa.org.tw/member_search/more?id=44CA1DA7-38F2-44A5-84F6-397C42D7681C</t>
        </is>
      </c>
    </row>
    <row r="86">
      <c r="A86" s="10" t="n">
        <v>85</v>
      </c>
      <c r="B86" s="11" t="inlineStr">
        <is>
          <t>安侯建業聯合會計師事務所</t>
        </is>
      </c>
      <c r="C86" s="11" t="inlineStr">
        <is>
          <t>KPMG 安侯建業</t>
        </is>
      </c>
      <c r="D86" s="11" t="inlineStr">
        <is>
          <t>陳彩凰</t>
        </is>
      </c>
      <c r="E86" s="10" t="inlineStr">
        <is>
          <t>台北總所</t>
        </is>
      </c>
      <c r="F86" s="12" t="inlineStr">
        <is>
          <t>台北市信義區信義路五段7號68樓</t>
        </is>
      </c>
      <c r="G86" s="12" t="inlineStr">
        <is>
          <t>台北市信義區信義路五段7號68樓</t>
        </is>
      </c>
      <c r="H86" s="12" t="inlineStr"/>
      <c r="I86" s="10" t="inlineStr">
        <is>
          <t>106/07/10</t>
        </is>
      </c>
      <c r="J86" s="11" t="inlineStr">
        <is>
          <t>全聯會一字第1060247</t>
        </is>
      </c>
      <c r="K86" s="10" t="inlineStr">
        <is>
          <t>北市</t>
        </is>
      </c>
      <c r="L86" s="10" t="inlineStr">
        <is>
          <t>106/08/04</t>
        </is>
      </c>
      <c r="M86" s="10" t="inlineStr">
        <is>
          <t>4032</t>
        </is>
      </c>
      <c r="N86" s="10" t="inlineStr">
        <is>
          <t>2026-06-05</t>
        </is>
      </c>
      <c r="O86" s="11" t="inlineStr">
        <is>
          <t>https://www.roccpa.org.tw/member_search/more?id=48644002-3843-4530-8B3B-9BD643F85A4E</t>
        </is>
      </c>
    </row>
    <row r="87">
      <c r="A87" s="10" t="n">
        <v>86</v>
      </c>
      <c r="B87" s="11" t="inlineStr">
        <is>
          <t>安侯建業聯合會計師事務所</t>
        </is>
      </c>
      <c r="C87" s="11" t="inlineStr">
        <is>
          <t>KPMG 安侯建業</t>
        </is>
      </c>
      <c r="D87" s="11" t="inlineStr">
        <is>
          <t>陳志愷</t>
        </is>
      </c>
      <c r="E87" s="10" t="inlineStr">
        <is>
          <t>台北總所</t>
        </is>
      </c>
      <c r="F87" s="12" t="inlineStr">
        <is>
          <t>台北市信義區信義路五段7號68樓</t>
        </is>
      </c>
      <c r="G87" s="12" t="inlineStr">
        <is>
          <t>台北市信義區信義路五段7號68樓</t>
        </is>
      </c>
      <c r="H87" s="12" t="inlineStr"/>
      <c r="I87" s="10" t="inlineStr"/>
      <c r="J87" s="11" t="inlineStr"/>
      <c r="K87" s="10" t="inlineStr">
        <is>
          <t>北市</t>
        </is>
      </c>
      <c r="L87" s="10" t="inlineStr">
        <is>
          <t>090/01/08</t>
        </is>
      </c>
      <c r="M87" s="10" t="inlineStr">
        <is>
          <t>2325</t>
        </is>
      </c>
      <c r="N87" s="10" t="inlineStr">
        <is>
          <t>2026-06-05</t>
        </is>
      </c>
      <c r="O87" s="11" t="inlineStr">
        <is>
          <t>https://www.roccpa.org.tw/member_search/more?id=4BB32E91-F020-4D00-A546-13EBECB76968</t>
        </is>
      </c>
    </row>
    <row r="88">
      <c r="A88" s="10" t="n">
        <v>87</v>
      </c>
      <c r="B88" s="11" t="inlineStr">
        <is>
          <t>安侯建業聯合會計師事務所</t>
        </is>
      </c>
      <c r="C88" s="11" t="inlineStr">
        <is>
          <t>KPMG 安侯建業</t>
        </is>
      </c>
      <c r="D88" s="11" t="inlineStr">
        <is>
          <t>陳明輝</t>
        </is>
      </c>
      <c r="E88" s="10" t="inlineStr">
        <is>
          <t>台北總所</t>
        </is>
      </c>
      <c r="F88" s="12" t="inlineStr">
        <is>
          <t>台北市信義區信義路五段7號68樓</t>
        </is>
      </c>
      <c r="G88" s="12" t="inlineStr">
        <is>
          <t>台北市信義區信義路五段7號68樓</t>
        </is>
      </c>
      <c r="H88" s="12" t="inlineStr"/>
      <c r="I88" s="10" t="inlineStr">
        <is>
          <t>114/01/13</t>
        </is>
      </c>
      <c r="J88" s="11" t="inlineStr">
        <is>
          <t>全聯會一字第1140000036號</t>
        </is>
      </c>
      <c r="K88" s="10" t="inlineStr">
        <is>
          <t>北市</t>
        </is>
      </c>
      <c r="L88" s="10" t="inlineStr">
        <is>
          <t>114/01/13</t>
        </is>
      </c>
      <c r="M88" s="10" t="inlineStr">
        <is>
          <t>4692</t>
        </is>
      </c>
      <c r="N88" s="10" t="inlineStr">
        <is>
          <t>2026-06-05</t>
        </is>
      </c>
      <c r="O88" s="11" t="inlineStr">
        <is>
          <t>https://www.roccpa.org.tw/member_search/more?id=9778C79E-D58E-4EC8-A895-2E781310FE05</t>
        </is>
      </c>
    </row>
    <row r="89">
      <c r="A89" s="10" t="n">
        <v>88</v>
      </c>
      <c r="B89" s="11" t="inlineStr">
        <is>
          <t>安侯建業聯合會計師事務所</t>
        </is>
      </c>
      <c r="C89" s="11" t="inlineStr">
        <is>
          <t>KPMG 安侯建業</t>
        </is>
      </c>
      <c r="D89" s="11" t="inlineStr">
        <is>
          <t>陳盈如</t>
        </is>
      </c>
      <c r="E89" s="10" t="inlineStr">
        <is>
          <t>台北總所</t>
        </is>
      </c>
      <c r="F89" s="12" t="inlineStr">
        <is>
          <t>台北市信義區信義路五段7號68樓</t>
        </is>
      </c>
      <c r="G89" s="12" t="inlineStr">
        <is>
          <t>台北市信義區信義路五段7號68樓</t>
        </is>
      </c>
      <c r="H89" s="12" t="inlineStr"/>
      <c r="I89" s="10" t="inlineStr"/>
      <c r="J89" s="11" t="inlineStr"/>
      <c r="K89" s="10" t="inlineStr">
        <is>
          <t>北市</t>
        </is>
      </c>
      <c r="L89" s="10" t="inlineStr">
        <is>
          <t>094/05/20</t>
        </is>
      </c>
      <c r="M89" s="10" t="inlineStr">
        <is>
          <t>2752</t>
        </is>
      </c>
      <c r="N89" s="10" t="inlineStr">
        <is>
          <t>2026-06-05</t>
        </is>
      </c>
      <c r="O89" s="11" t="inlineStr">
        <is>
          <t>https://www.roccpa.org.tw/member_search/more?id=0E0750AD-04C3-4887-A6A1-2970C84C0BB2</t>
        </is>
      </c>
    </row>
    <row r="90">
      <c r="A90" s="10" t="n">
        <v>89</v>
      </c>
      <c r="B90" s="11" t="inlineStr">
        <is>
          <t>安侯建業聯合會計師事務所</t>
        </is>
      </c>
      <c r="C90" s="11" t="inlineStr">
        <is>
          <t>KPMG 安侯建業</t>
        </is>
      </c>
      <c r="D90" s="11" t="inlineStr">
        <is>
          <t>陳蓓琪</t>
        </is>
      </c>
      <c r="E90" s="10" t="inlineStr">
        <is>
          <t>台北總所</t>
        </is>
      </c>
      <c r="F90" s="12" t="inlineStr">
        <is>
          <t>台北市信義區信義路五段7號68樓</t>
        </is>
      </c>
      <c r="G90" s="12" t="inlineStr">
        <is>
          <t>台北市信義區信義路五段7號68樓</t>
        </is>
      </c>
      <c r="H90" s="12" t="inlineStr"/>
      <c r="I90" s="10" t="inlineStr"/>
      <c r="J90" s="11" t="inlineStr"/>
      <c r="K90" s="10" t="inlineStr">
        <is>
          <t>北市</t>
        </is>
      </c>
      <c r="L90" s="10" t="inlineStr">
        <is>
          <t>096/11/07</t>
        </is>
      </c>
      <c r="M90" s="10" t="inlineStr">
        <is>
          <t>2972</t>
        </is>
      </c>
      <c r="N90" s="10" t="inlineStr">
        <is>
          <t>2026-06-05</t>
        </is>
      </c>
      <c r="O90" s="11" t="inlineStr">
        <is>
          <t>https://www.roccpa.org.tw/member_search/more?id=7A8E3BE0-6740-43D0-9AD1-8F63F22334B1</t>
        </is>
      </c>
    </row>
    <row r="91">
      <c r="A91" s="10" t="n">
        <v>90</v>
      </c>
      <c r="B91" s="11" t="inlineStr">
        <is>
          <t>安侯建業聯合會計師事務所</t>
        </is>
      </c>
      <c r="C91" s="11" t="inlineStr">
        <is>
          <t>KPMG 安侯建業</t>
        </is>
      </c>
      <c r="D91" s="11" t="inlineStr">
        <is>
          <t>陳雅琳</t>
        </is>
      </c>
      <c r="E91" s="10" t="inlineStr">
        <is>
          <t>台北總所</t>
        </is>
      </c>
      <c r="F91" s="12" t="inlineStr">
        <is>
          <t>台北市信義區信義路五段7號68樓</t>
        </is>
      </c>
      <c r="G91" s="12" t="inlineStr">
        <is>
          <t>台北市信義區信義路五段7號68樓</t>
        </is>
      </c>
      <c r="H91" s="12" t="inlineStr"/>
      <c r="I91" s="10" t="inlineStr"/>
      <c r="J91" s="11" t="inlineStr"/>
      <c r="K91" s="10" t="inlineStr">
        <is>
          <t>北市</t>
        </is>
      </c>
      <c r="L91" s="10" t="inlineStr">
        <is>
          <t>085/12/31</t>
        </is>
      </c>
      <c r="M91" s="10" t="inlineStr">
        <is>
          <t>1890</t>
        </is>
      </c>
      <c r="N91" s="10" t="inlineStr">
        <is>
          <t>2026-06-05</t>
        </is>
      </c>
      <c r="O91" s="11" t="inlineStr">
        <is>
          <t>https://www.roccpa.org.tw/member_search/more?id=6AA176FB-046E-4EBC-96E4-8723BF23870B</t>
        </is>
      </c>
    </row>
    <row r="92">
      <c r="A92" s="10" t="n">
        <v>91</v>
      </c>
      <c r="B92" s="11" t="inlineStr">
        <is>
          <t>安侯建業聯合會計師事務所</t>
        </is>
      </c>
      <c r="C92" s="11" t="inlineStr">
        <is>
          <t>KPMG 安侯建業</t>
        </is>
      </c>
      <c r="D92" s="11" t="inlineStr">
        <is>
          <t>韓沂璉</t>
        </is>
      </c>
      <c r="E92" s="10" t="inlineStr">
        <is>
          <t>台北總所</t>
        </is>
      </c>
      <c r="F92" s="12" t="inlineStr">
        <is>
          <t>台北市信義區信義路五段7號68樓</t>
        </is>
      </c>
      <c r="G92" s="12" t="inlineStr">
        <is>
          <t>台北市信義區信義路五段7號68樓</t>
        </is>
      </c>
      <c r="H92" s="12" t="inlineStr"/>
      <c r="I92" s="10" t="inlineStr">
        <is>
          <t>109/01/31</t>
        </is>
      </c>
      <c r="J92" s="11" t="inlineStr">
        <is>
          <t>全聯會一字第1090039</t>
        </is>
      </c>
      <c r="K92" s="10" t="inlineStr">
        <is>
          <t>北市</t>
        </is>
      </c>
      <c r="L92" s="10" t="inlineStr">
        <is>
          <t>109/01/31</t>
        </is>
      </c>
      <c r="M92" s="10" t="inlineStr">
        <is>
          <t>4215</t>
        </is>
      </c>
      <c r="N92" s="10" t="inlineStr">
        <is>
          <t>2026-06-05</t>
        </is>
      </c>
      <c r="O92" s="11" t="inlineStr">
        <is>
          <t>https://www.roccpa.org.tw/member_search/more?id=6D166249-4183-453B-AA1C-5AFE8C05F975</t>
        </is>
      </c>
    </row>
    <row r="93">
      <c r="A93" s="10" t="n">
        <v>92</v>
      </c>
      <c r="B93" s="11" t="inlineStr">
        <is>
          <t>安侯建業聯合會計師事務所</t>
        </is>
      </c>
      <c r="C93" s="11" t="inlineStr">
        <is>
          <t>KPMG 安侯建業</t>
        </is>
      </c>
      <c r="D93" s="11" t="inlineStr">
        <is>
          <t>高靚玟</t>
        </is>
      </c>
      <c r="E93" s="10" t="inlineStr">
        <is>
          <t>台北總所</t>
        </is>
      </c>
      <c r="F93" s="12" t="inlineStr">
        <is>
          <t>台北市信義區信義路五段7號68樓</t>
        </is>
      </c>
      <c r="G93" s="12" t="inlineStr">
        <is>
          <t>台北市信義區信義路五段7號68樓</t>
        </is>
      </c>
      <c r="H93" s="12" t="inlineStr"/>
      <c r="I93" s="10" t="inlineStr">
        <is>
          <t>106/01/20</t>
        </is>
      </c>
      <c r="J93" s="11" t="inlineStr">
        <is>
          <t>全聯會一字第1060056</t>
        </is>
      </c>
      <c r="K93" s="10" t="inlineStr">
        <is>
          <t>北市</t>
        </is>
      </c>
      <c r="L93" s="10" t="inlineStr">
        <is>
          <t>106/02/06</t>
        </is>
      </c>
      <c r="M93" s="10" t="inlineStr">
        <is>
          <t>3989</t>
        </is>
      </c>
      <c r="N93" s="10" t="inlineStr">
        <is>
          <t>2026-06-05</t>
        </is>
      </c>
      <c r="O93" s="11" t="inlineStr">
        <is>
          <t>https://www.roccpa.org.tw/member_search/more?id=786487F1-765A-4582-B968-8F03BC337C80</t>
        </is>
      </c>
    </row>
    <row r="94">
      <c r="A94" s="10" t="n">
        <v>93</v>
      </c>
      <c r="B94" s="11" t="inlineStr">
        <is>
          <t>安侯建業聯合會計師事務所</t>
        </is>
      </c>
      <c r="C94" s="11" t="inlineStr">
        <is>
          <t>KPMG 安侯建業</t>
        </is>
      </c>
      <c r="D94" s="11" t="inlineStr">
        <is>
          <t>黃彥賓</t>
        </is>
      </c>
      <c r="E94" s="10" t="inlineStr">
        <is>
          <t>台北總所</t>
        </is>
      </c>
      <c r="F94" s="12" t="inlineStr">
        <is>
          <t>台北市信義區信義路五段7號68樓</t>
        </is>
      </c>
      <c r="G94" s="12" t="inlineStr">
        <is>
          <t>台北市信義區信義路五段7號68樓</t>
        </is>
      </c>
      <c r="H94" s="12" t="inlineStr"/>
      <c r="I94" s="10" t="inlineStr">
        <is>
          <t>111/06/13</t>
        </is>
      </c>
      <c r="J94" s="11" t="inlineStr">
        <is>
          <t>全聯會一字第1110224</t>
        </is>
      </c>
      <c r="K94" s="10" t="inlineStr">
        <is>
          <t>北市</t>
        </is>
      </c>
      <c r="L94" s="10" t="inlineStr">
        <is>
          <t>111/06/13</t>
        </is>
      </c>
      <c r="M94" s="10" t="inlineStr">
        <is>
          <t>4436</t>
        </is>
      </c>
      <c r="N94" s="10" t="inlineStr">
        <is>
          <t>2026-06-05</t>
        </is>
      </c>
      <c r="O94" s="11" t="inlineStr">
        <is>
          <t>https://www.roccpa.org.tw/member_search/more?id=5C8D52AE-CA66-4E74-B5DC-92F7A6D1C9DA</t>
        </is>
      </c>
    </row>
    <row r="95">
      <c r="A95" s="10" t="n">
        <v>94</v>
      </c>
      <c r="B95" s="11" t="inlineStr">
        <is>
          <t>安侯建業聯合會計師事務所</t>
        </is>
      </c>
      <c r="C95" s="11" t="inlineStr">
        <is>
          <t>KPMG 安侯建業</t>
        </is>
      </c>
      <c r="D95" s="11" t="inlineStr">
        <is>
          <t>黃明宏</t>
        </is>
      </c>
      <c r="E95" s="10" t="inlineStr">
        <is>
          <t>台北總所</t>
        </is>
      </c>
      <c r="F95" s="12" t="inlineStr">
        <is>
          <t>台北市信義區信義路五段7號68樓</t>
        </is>
      </c>
      <c r="G95" s="12" t="inlineStr">
        <is>
          <t>台北市信義區信義路五段7號68樓</t>
        </is>
      </c>
      <c r="H95" s="12" t="inlineStr"/>
      <c r="I95" s="10" t="inlineStr">
        <is>
          <t>106/01/20</t>
        </is>
      </c>
      <c r="J95" s="11" t="inlineStr">
        <is>
          <t>全聯會一字第1060055</t>
        </is>
      </c>
      <c r="K95" s="10" t="inlineStr">
        <is>
          <t>北市</t>
        </is>
      </c>
      <c r="L95" s="10" t="inlineStr">
        <is>
          <t>106/02/06</t>
        </is>
      </c>
      <c r="M95" s="10" t="inlineStr">
        <is>
          <t>3988</t>
        </is>
      </c>
      <c r="N95" s="10" t="inlineStr">
        <is>
          <t>2026-06-05</t>
        </is>
      </c>
      <c r="O95" s="11" t="inlineStr">
        <is>
          <t>https://www.roccpa.org.tw/member_search/more?id=80BDD28F-1809-4C5E-8941-1A38EA95564F</t>
        </is>
      </c>
    </row>
    <row r="96">
      <c r="A96" s="10" t="n">
        <v>95</v>
      </c>
      <c r="B96" s="11" t="inlineStr">
        <is>
          <t>安侯建業聯合會計師事務所</t>
        </is>
      </c>
      <c r="C96" s="11" t="inlineStr">
        <is>
          <t>KPMG 安侯建業</t>
        </is>
      </c>
      <c r="D96" s="11" t="inlineStr">
        <is>
          <t>黃柏淑</t>
        </is>
      </c>
      <c r="E96" s="10" t="inlineStr">
        <is>
          <t>台北總所</t>
        </is>
      </c>
      <c r="F96" s="12" t="inlineStr">
        <is>
          <t>台北市信義區信義路五段7號68樓</t>
        </is>
      </c>
      <c r="G96" s="12" t="inlineStr">
        <is>
          <t>台北市信義區信義路五段7號68樓</t>
        </is>
      </c>
      <c r="H96" s="12" t="inlineStr"/>
      <c r="I96" s="10" t="inlineStr"/>
      <c r="J96" s="11" t="inlineStr"/>
      <c r="K96" s="10" t="inlineStr">
        <is>
          <t>北市</t>
        </is>
      </c>
      <c r="L96" s="10" t="inlineStr">
        <is>
          <t>091/02/01</t>
        </is>
      </c>
      <c r="M96" s="10" t="inlineStr">
        <is>
          <t>2437</t>
        </is>
      </c>
      <c r="N96" s="10" t="inlineStr">
        <is>
          <t>2026-06-05</t>
        </is>
      </c>
      <c r="O96" s="11" t="inlineStr">
        <is>
          <t>https://www.roccpa.org.tw/member_search/more?id=7AD90128-F919-4C20-AABD-8647FE1F660D</t>
        </is>
      </c>
    </row>
    <row r="97">
      <c r="A97" s="10" t="n">
        <v>96</v>
      </c>
      <c r="B97" s="11" t="inlineStr">
        <is>
          <t>安侯建業聯合會計師事務所</t>
        </is>
      </c>
      <c r="C97" s="11" t="inlineStr">
        <is>
          <t>KPMG 安侯建業</t>
        </is>
      </c>
      <c r="D97" s="11" t="inlineStr">
        <is>
          <t>黃欣婷</t>
        </is>
      </c>
      <c r="E97" s="10" t="inlineStr">
        <is>
          <t>台北總所</t>
        </is>
      </c>
      <c r="F97" s="12" t="inlineStr">
        <is>
          <t>台北市信義區信義路五段7號68樓</t>
        </is>
      </c>
      <c r="G97" s="12" t="inlineStr">
        <is>
          <t>台北市信義區信義路五段7號68樓</t>
        </is>
      </c>
      <c r="H97" s="12" t="inlineStr"/>
      <c r="I97" s="10" t="inlineStr">
        <is>
          <t>110/01/27</t>
        </is>
      </c>
      <c r="J97" s="11" t="inlineStr">
        <is>
          <t>全聯會一字第1100044</t>
        </is>
      </c>
      <c r="K97" s="10" t="inlineStr">
        <is>
          <t>北市</t>
        </is>
      </c>
      <c r="L97" s="10" t="inlineStr">
        <is>
          <t>110/01/27</t>
        </is>
      </c>
      <c r="M97" s="10" t="inlineStr">
        <is>
          <t>4299</t>
        </is>
      </c>
      <c r="N97" s="10" t="inlineStr">
        <is>
          <t>2026-06-05</t>
        </is>
      </c>
      <c r="O97" s="11" t="inlineStr">
        <is>
          <t>https://www.roccpa.org.tw/member_search/more?id=2069DD92-F66F-497D-AC58-1832EC964556</t>
        </is>
      </c>
    </row>
    <row r="98">
      <c r="A98" s="10" t="n">
        <v>97</v>
      </c>
      <c r="B98" s="11" t="inlineStr">
        <is>
          <t>安侯建業聯合會計師事務所</t>
        </is>
      </c>
      <c r="C98" s="11" t="inlineStr">
        <is>
          <t>KPMG 安侯建業</t>
        </is>
      </c>
      <c r="D98" s="11" t="inlineStr">
        <is>
          <t>黃泳華</t>
        </is>
      </c>
      <c r="E98" s="10" t="inlineStr">
        <is>
          <t>台北總所</t>
        </is>
      </c>
      <c r="F98" s="12" t="inlineStr">
        <is>
          <t>台北市信義區信義路五段7號68樓</t>
        </is>
      </c>
      <c r="G98" s="12" t="inlineStr">
        <is>
          <t>台北市信義區信義路五段7號68樓</t>
        </is>
      </c>
      <c r="H98" s="12" t="inlineStr"/>
      <c r="I98" s="10" t="inlineStr">
        <is>
          <t>101/01/19</t>
        </is>
      </c>
      <c r="J98" s="11" t="inlineStr">
        <is>
          <t>全聯會一字第1010019</t>
        </is>
      </c>
      <c r="K98" s="10" t="inlineStr">
        <is>
          <t>北市</t>
        </is>
      </c>
      <c r="L98" s="10" t="inlineStr">
        <is>
          <t>101/02/06</t>
        </is>
      </c>
      <c r="M98" s="10" t="inlineStr">
        <is>
          <t>3418</t>
        </is>
      </c>
      <c r="N98" s="10" t="inlineStr">
        <is>
          <t>2026-06-05</t>
        </is>
      </c>
      <c r="O98" s="11" t="inlineStr">
        <is>
          <t>https://www.roccpa.org.tw/member_search/more?id=2F2BCB28-FEF1-44FA-AD97-6C8DDCDA812A</t>
        </is>
      </c>
    </row>
    <row r="99">
      <c r="A99" s="10" t="n">
        <v>98</v>
      </c>
      <c r="B99" s="11" t="inlineStr">
        <is>
          <t>安侯建業聯合會計師事務所</t>
        </is>
      </c>
      <c r="C99" s="11" t="inlineStr">
        <is>
          <t>KPMG 安侯建業</t>
        </is>
      </c>
      <c r="D99" s="11" t="inlineStr">
        <is>
          <t>黃素貞</t>
        </is>
      </c>
      <c r="E99" s="10" t="inlineStr">
        <is>
          <t>台北總所</t>
        </is>
      </c>
      <c r="F99" s="12" t="inlineStr">
        <is>
          <t>台北市信義區信義路五段7號68樓</t>
        </is>
      </c>
      <c r="G99" s="12" t="inlineStr">
        <is>
          <t>台北市信義區信義路五段7號68樓</t>
        </is>
      </c>
      <c r="H99" s="12" t="inlineStr"/>
      <c r="I99" s="10" t="inlineStr"/>
      <c r="J99" s="11" t="inlineStr"/>
      <c r="K99" s="10" t="inlineStr">
        <is>
          <t>北市</t>
        </is>
      </c>
      <c r="L99" s="10" t="inlineStr">
        <is>
          <t>086/10/02</t>
        </is>
      </c>
      <c r="M99" s="10" t="inlineStr">
        <is>
          <t>1951</t>
        </is>
      </c>
      <c r="N99" s="10" t="inlineStr">
        <is>
          <t>2026-06-05</t>
        </is>
      </c>
      <c r="O99" s="11" t="inlineStr">
        <is>
          <t>https://www.roccpa.org.tw/member_search/more?id=A314A8BF-6517-411B-BF3B-F6D7552F3C90</t>
        </is>
      </c>
    </row>
    <row r="100">
      <c r="A100" s="10" t="n">
        <v>99</v>
      </c>
      <c r="B100" s="11" t="inlineStr">
        <is>
          <t>安侯建業聯合會計師事務所</t>
        </is>
      </c>
      <c r="C100" s="11" t="inlineStr">
        <is>
          <t>KPMG 安侯建業</t>
        </is>
      </c>
      <c r="D100" s="11" t="inlineStr">
        <is>
          <t>黃郁婷</t>
        </is>
      </c>
      <c r="E100" s="10" t="inlineStr">
        <is>
          <t>台北總所</t>
        </is>
      </c>
      <c r="F100" s="12" t="inlineStr">
        <is>
          <t>台北市信義區信義路五段7號68樓</t>
        </is>
      </c>
      <c r="G100" s="12" t="inlineStr">
        <is>
          <t>台北市信義區信義路五段7號68樓</t>
        </is>
      </c>
      <c r="H100" s="12" t="inlineStr"/>
      <c r="I100" s="10" t="inlineStr">
        <is>
          <t>112/02/06</t>
        </is>
      </c>
      <c r="J100" s="11" t="inlineStr">
        <is>
          <t>全聯會一字第1120067</t>
        </is>
      </c>
      <c r="K100" s="10" t="inlineStr">
        <is>
          <t>北市</t>
        </is>
      </c>
      <c r="L100" s="10" t="inlineStr">
        <is>
          <t>112/02/06</t>
        </is>
      </c>
      <c r="M100" s="10" t="inlineStr">
        <is>
          <t>4497</t>
        </is>
      </c>
      <c r="N100" s="10" t="inlineStr">
        <is>
          <t>2026-06-05</t>
        </is>
      </c>
      <c r="O100" s="11" t="inlineStr">
        <is>
          <t>https://www.roccpa.org.tw/member_search/more?id=50CFC1C9-AE02-42ED-BD5F-33A373463452</t>
        </is>
      </c>
    </row>
    <row r="101">
      <c r="A101" s="10" t="n">
        <v>100</v>
      </c>
      <c r="B101" s="11" t="inlineStr">
        <is>
          <t>安侯建業聯合會計師事務所</t>
        </is>
      </c>
      <c r="C101" s="11" t="inlineStr">
        <is>
          <t>KPMG 安侯建業</t>
        </is>
      </c>
      <c r="D101" s="11" t="inlineStr">
        <is>
          <t>黃采絹</t>
        </is>
      </c>
      <c r="E101" s="10" t="inlineStr">
        <is>
          <t>台北總所</t>
        </is>
      </c>
      <c r="F101" s="12" t="inlineStr">
        <is>
          <t>台北市信義區信義路五段7號68樓</t>
        </is>
      </c>
      <c r="G101" s="12" t="inlineStr">
        <is>
          <t>台北市信義區信義路五段7號68樓</t>
        </is>
      </c>
      <c r="H101" s="12" t="inlineStr"/>
      <c r="I101" s="10" t="inlineStr">
        <is>
          <t>114/01/13</t>
        </is>
      </c>
      <c r="J101" s="11" t="inlineStr">
        <is>
          <t>全聯會一字第1140000038號</t>
        </is>
      </c>
      <c r="K101" s="10" t="inlineStr">
        <is>
          <t>北市</t>
        </is>
      </c>
      <c r="L101" s="10" t="inlineStr">
        <is>
          <t>114/01/13</t>
        </is>
      </c>
      <c r="M101" s="10" t="inlineStr">
        <is>
          <t>4694</t>
        </is>
      </c>
      <c r="N101" s="10" t="inlineStr">
        <is>
          <t>2026-06-05</t>
        </is>
      </c>
      <c r="O101" s="11" t="inlineStr">
        <is>
          <t>https://www.roccpa.org.tw/member_search/more?id=01AA7495-4ED9-473D-B152-4727543CA2CE</t>
        </is>
      </c>
    </row>
    <row r="102">
      <c r="A102" s="10" t="n">
        <v>101</v>
      </c>
      <c r="B102" s="11" t="inlineStr">
        <is>
          <t>安侯建業聯合會計師事務所</t>
        </is>
      </c>
      <c r="C102" s="11" t="inlineStr">
        <is>
          <t>KPMG 安侯建業</t>
        </is>
      </c>
      <c r="D102" s="11" t="inlineStr">
        <is>
          <t>吳俊源</t>
        </is>
      </c>
      <c r="E102" s="10" t="inlineStr">
        <is>
          <t>新竹分所</t>
        </is>
      </c>
      <c r="F102" s="12" t="inlineStr">
        <is>
          <t>新竹市科學園區展業一路11號</t>
        </is>
      </c>
      <c r="G102" s="12" t="inlineStr">
        <is>
          <t>台北市信義區信義路五段7號68樓</t>
        </is>
      </c>
      <c r="H102" s="12" t="inlineStr">
        <is>
          <t>新竹市科學園區展業一路11號</t>
        </is>
      </c>
      <c r="I102" s="10" t="inlineStr">
        <is>
          <t>103/12/29</t>
        </is>
      </c>
      <c r="J102" s="11" t="inlineStr">
        <is>
          <t>全聯會一字第1030484</t>
        </is>
      </c>
      <c r="K102" s="10" t="inlineStr">
        <is>
          <t>省</t>
        </is>
      </c>
      <c r="L102" s="10" t="inlineStr">
        <is>
          <t>104/03/02</t>
        </is>
      </c>
      <c r="M102" s="10" t="inlineStr">
        <is>
          <t>4342</t>
        </is>
      </c>
      <c r="N102" s="10" t="inlineStr">
        <is>
          <t>2026-06-05</t>
        </is>
      </c>
      <c r="O102" s="11" t="inlineStr">
        <is>
          <t>https://www.roccpa.org.tw/member_search/more?id=B0A1211F-7D8F-4A0B-98D0-EE1017DEA681</t>
        </is>
      </c>
    </row>
    <row r="103">
      <c r="A103" s="10" t="n">
        <v>102</v>
      </c>
      <c r="B103" s="11" t="inlineStr">
        <is>
          <t>安侯建業聯合會計師事務所</t>
        </is>
      </c>
      <c r="C103" s="11" t="inlineStr">
        <is>
          <t>KPMG 安侯建業</t>
        </is>
      </c>
      <c r="D103" s="11" t="inlineStr">
        <is>
          <t>呂倩慧</t>
        </is>
      </c>
      <c r="E103" s="10" t="inlineStr">
        <is>
          <t>新竹分所</t>
        </is>
      </c>
      <c r="F103" s="12" t="inlineStr">
        <is>
          <t>新竹市科學園區展業一路11號</t>
        </is>
      </c>
      <c r="G103" s="12" t="inlineStr">
        <is>
          <t>台北市信義區信義路五段7號68樓</t>
        </is>
      </c>
      <c r="H103" s="12" t="inlineStr">
        <is>
          <t>新竹市科學園區展業一路11號</t>
        </is>
      </c>
      <c r="I103" s="10" t="inlineStr">
        <is>
          <t>104/02/17</t>
        </is>
      </c>
      <c r="J103" s="11" t="inlineStr">
        <is>
          <t>全聯會一字第1040083</t>
        </is>
      </c>
      <c r="K103" s="10" t="inlineStr">
        <is>
          <t>省</t>
        </is>
      </c>
      <c r="L103" s="10" t="inlineStr">
        <is>
          <t>104/03/02</t>
        </is>
      </c>
      <c r="M103" s="10" t="inlineStr">
        <is>
          <t>4344</t>
        </is>
      </c>
      <c r="N103" s="10" t="inlineStr">
        <is>
          <t>2026-06-05</t>
        </is>
      </c>
      <c r="O103" s="11" t="inlineStr">
        <is>
          <t>https://www.roccpa.org.tw/member_search/more?id=E29555E3-76B9-43AC-B1AF-0E3E32263A68</t>
        </is>
      </c>
    </row>
    <row r="104">
      <c r="A104" s="10" t="n">
        <v>103</v>
      </c>
      <c r="B104" s="11" t="inlineStr">
        <is>
          <t>安侯建業聯合會計師事務所</t>
        </is>
      </c>
      <c r="C104" s="11" t="inlineStr">
        <is>
          <t>KPMG 安侯建業</t>
        </is>
      </c>
      <c r="D104" s="11" t="inlineStr">
        <is>
          <t>鄭安志</t>
        </is>
      </c>
      <c r="E104" s="10" t="inlineStr">
        <is>
          <t>新竹分所</t>
        </is>
      </c>
      <c r="F104" s="12" t="inlineStr">
        <is>
          <t>新竹市科學園區展業一路11號</t>
        </is>
      </c>
      <c r="G104" s="12" t="inlineStr">
        <is>
          <t>台北市信義區信義路五段7號68樓</t>
        </is>
      </c>
      <c r="H104" s="12" t="inlineStr">
        <is>
          <t>新竹市科學園區展業一路11號</t>
        </is>
      </c>
      <c r="I104" s="10" t="inlineStr">
        <is>
          <t>106/01/20</t>
        </is>
      </c>
      <c r="J104" s="11" t="inlineStr">
        <is>
          <t>全聯會一字第1060054</t>
        </is>
      </c>
      <c r="K104" s="10" t="inlineStr">
        <is>
          <t>省</t>
        </is>
      </c>
      <c r="L104" s="10" t="inlineStr">
        <is>
          <t>106/02/07</t>
        </is>
      </c>
      <c r="M104" s="10" t="inlineStr">
        <is>
          <t>4555</t>
        </is>
      </c>
      <c r="N104" s="10" t="inlineStr">
        <is>
          <t>2026-06-05</t>
        </is>
      </c>
      <c r="O104" s="11" t="inlineStr">
        <is>
          <t>https://www.roccpa.org.tw/member_search/more?id=4617A91B-60B3-4FA0-8F7A-45CD35BAF6B5</t>
        </is>
      </c>
    </row>
    <row r="105">
      <c r="A105" s="10" t="n">
        <v>104</v>
      </c>
      <c r="B105" s="11" t="inlineStr">
        <is>
          <t>安侯建業聯合會計師事務所</t>
        </is>
      </c>
      <c r="C105" s="11" t="inlineStr">
        <is>
          <t>KPMG 安侯建業</t>
        </is>
      </c>
      <c r="D105" s="11" t="inlineStr">
        <is>
          <t>黃海寧</t>
        </is>
      </c>
      <c r="E105" s="10" t="inlineStr">
        <is>
          <t>新竹分所</t>
        </is>
      </c>
      <c r="F105" s="12" t="inlineStr">
        <is>
          <t>新竹市科學園區展業一路11號</t>
        </is>
      </c>
      <c r="G105" s="12" t="inlineStr">
        <is>
          <t>台北市信義區信義路五段7號68樓</t>
        </is>
      </c>
      <c r="H105" s="12" t="inlineStr">
        <is>
          <t>新竹市科學園區展業一路11號</t>
        </is>
      </c>
      <c r="I105" s="10" t="inlineStr">
        <is>
          <t>100/03/14</t>
        </is>
      </c>
      <c r="J105" s="11" t="inlineStr">
        <is>
          <t>全聯會一字第1000094</t>
        </is>
      </c>
      <c r="K105" s="10" t="inlineStr">
        <is>
          <t>省</t>
        </is>
      </c>
      <c r="L105" s="10" t="inlineStr">
        <is>
          <t>100/03/16</t>
        </is>
      </c>
      <c r="M105" s="10" t="inlineStr">
        <is>
          <t>3818</t>
        </is>
      </c>
      <c r="N105" s="10" t="inlineStr">
        <is>
          <t>2026-06-05</t>
        </is>
      </c>
      <c r="O105" s="11" t="inlineStr">
        <is>
          <t>https://www.roccpa.org.tw/member_search/more?id=3FCAF940-6BEF-4C52-B847-2183F92230E7</t>
        </is>
      </c>
    </row>
    <row r="106">
      <c r="A106" s="10" t="n">
        <v>105</v>
      </c>
      <c r="B106" s="11" t="inlineStr">
        <is>
          <t>安侯建業聯合會計師事務所</t>
        </is>
      </c>
      <c r="C106" s="11" t="inlineStr">
        <is>
          <t>KPMG 安侯建業</t>
        </is>
      </c>
      <c r="D106" s="11" t="inlineStr">
        <is>
          <t>張字信</t>
        </is>
      </c>
      <c r="E106" s="10" t="inlineStr">
        <is>
          <t>台中分所</t>
        </is>
      </c>
      <c r="F106" s="12" t="inlineStr">
        <is>
          <t>台中市西屯區文心路二段201號7樓</t>
        </is>
      </c>
      <c r="G106" s="12" t="inlineStr">
        <is>
          <t>台北市信義區信義路五段7號68樓</t>
        </is>
      </c>
      <c r="H106" s="12" t="inlineStr">
        <is>
          <t>台中市西屯區文心路二段201號7樓</t>
        </is>
      </c>
      <c r="I106" s="10" t="inlineStr"/>
      <c r="J106" s="11" t="inlineStr"/>
      <c r="K106" s="10" t="inlineStr">
        <is>
          <t>中市</t>
        </is>
      </c>
      <c r="L106" s="10" t="inlineStr">
        <is>
          <t>100/08/24</t>
        </is>
      </c>
      <c r="M106" s="10" t="inlineStr">
        <is>
          <t>17</t>
        </is>
      </c>
      <c r="N106" s="10" t="inlineStr">
        <is>
          <t>2026-06-05</t>
        </is>
      </c>
      <c r="O106" s="11" t="inlineStr">
        <is>
          <t>https://www.roccpa.org.tw/member_search/more?id=630656B7-5B7F-40AA-A55A-8766CF0C41B1</t>
        </is>
      </c>
    </row>
    <row r="107">
      <c r="A107" s="10" t="n">
        <v>106</v>
      </c>
      <c r="B107" s="11" t="inlineStr">
        <is>
          <t>安侯建業聯合會計師事務所</t>
        </is>
      </c>
      <c r="C107" s="11" t="inlineStr">
        <is>
          <t>KPMG 安侯建業</t>
        </is>
      </c>
      <c r="D107" s="11" t="inlineStr">
        <is>
          <t>陳政學</t>
        </is>
      </c>
      <c r="E107" s="10" t="inlineStr">
        <is>
          <t>台中分所</t>
        </is>
      </c>
      <c r="F107" s="12" t="inlineStr">
        <is>
          <t>台中市西屯區文心路二段201號7樓</t>
        </is>
      </c>
      <c r="G107" s="12" t="inlineStr">
        <is>
          <t>台北市信義區信義路五段7號68樓</t>
        </is>
      </c>
      <c r="H107" s="12" t="inlineStr">
        <is>
          <t>台中市西屯區文心路二段201號7樓</t>
        </is>
      </c>
      <c r="I107" s="10" t="inlineStr">
        <is>
          <t>102/01/03</t>
        </is>
      </c>
      <c r="J107" s="11" t="inlineStr">
        <is>
          <t>全聯會一字第1020006</t>
        </is>
      </c>
      <c r="K107" s="10" t="inlineStr">
        <is>
          <t>中市</t>
        </is>
      </c>
      <c r="L107" s="10" t="inlineStr">
        <is>
          <t>102/01/07</t>
        </is>
      </c>
      <c r="M107" s="10" t="inlineStr">
        <is>
          <t>567</t>
        </is>
      </c>
      <c r="N107" s="10" t="inlineStr">
        <is>
          <t>2026-06-05</t>
        </is>
      </c>
      <c r="O107" s="11" t="inlineStr">
        <is>
          <t>https://www.roccpa.org.tw/member_search/more?id=0DA555A2-C446-4B49-B41E-0E70C9543545</t>
        </is>
      </c>
    </row>
    <row r="108">
      <c r="A108" s="10" t="n">
        <v>107</v>
      </c>
      <c r="B108" s="11" t="inlineStr">
        <is>
          <t>安侯建業聯合會計師事務所</t>
        </is>
      </c>
      <c r="C108" s="11" t="inlineStr">
        <is>
          <t>KPMG 安侯建業</t>
        </is>
      </c>
      <c r="D108" s="11" t="inlineStr">
        <is>
          <t>陳燕慧</t>
        </is>
      </c>
      <c r="E108" s="10" t="inlineStr">
        <is>
          <t>台中分所</t>
        </is>
      </c>
      <c r="F108" s="12" t="inlineStr">
        <is>
          <t>台中市西屯區文心路二段201號7樓</t>
        </is>
      </c>
      <c r="G108" s="12" t="inlineStr">
        <is>
          <t>台北市信義區信義路五段7號68樓</t>
        </is>
      </c>
      <c r="H108" s="12" t="inlineStr">
        <is>
          <t>台中市西屯區文心路二段201號7樓</t>
        </is>
      </c>
      <c r="I108" s="10" t="inlineStr">
        <is>
          <t>111/02/07</t>
        </is>
      </c>
      <c r="J108" s="11" t="inlineStr">
        <is>
          <t>全聯會一字第1110073</t>
        </is>
      </c>
      <c r="K108" s="10" t="inlineStr">
        <is>
          <t>中市</t>
        </is>
      </c>
      <c r="L108" s="10" t="inlineStr">
        <is>
          <t>111/02/07</t>
        </is>
      </c>
      <c r="M108" s="10" t="inlineStr">
        <is>
          <t>1052</t>
        </is>
      </c>
      <c r="N108" s="10" t="inlineStr">
        <is>
          <t>2026-06-05</t>
        </is>
      </c>
      <c r="O108" s="11" t="inlineStr">
        <is>
          <t>https://www.roccpa.org.tw/member_search/more?id=AD563AD3-0660-4901-8E68-222B9FB9DEBA</t>
        </is>
      </c>
    </row>
    <row r="109">
      <c r="A109" s="10" t="n">
        <v>108</v>
      </c>
      <c r="B109" s="11" t="inlineStr">
        <is>
          <t>安侯建業聯合會計師事務所</t>
        </is>
      </c>
      <c r="C109" s="11" t="inlineStr">
        <is>
          <t>KPMG 安侯建業</t>
        </is>
      </c>
      <c r="D109" s="11" t="inlineStr">
        <is>
          <t>蘇彥達</t>
        </is>
      </c>
      <c r="E109" s="10" t="inlineStr">
        <is>
          <t>台南分所</t>
        </is>
      </c>
      <c r="F109" s="12" t="inlineStr">
        <is>
          <t>台南市中西區民生路二段279號16樓</t>
        </is>
      </c>
      <c r="G109" s="12" t="inlineStr">
        <is>
          <t>台北市信義區信義路五段7號68樓</t>
        </is>
      </c>
      <c r="H109" s="12" t="inlineStr">
        <is>
          <t>台南市中西區民生路二段279號16樓</t>
        </is>
      </c>
      <c r="I109" s="10" t="inlineStr">
        <is>
          <t>107/02/01</t>
        </is>
      </c>
      <c r="J109" s="11" t="inlineStr">
        <is>
          <t>全聯會一字第1070073</t>
        </is>
      </c>
      <c r="K109" s="10" t="inlineStr"/>
      <c r="L109" s="10" t="inlineStr"/>
      <c r="M109" s="10" t="inlineStr">
        <is>
          <t>4622</t>
        </is>
      </c>
      <c r="N109" s="10" t="inlineStr">
        <is>
          <t>2026-06-05</t>
        </is>
      </c>
      <c r="O109" s="11" t="inlineStr">
        <is>
          <t>https://www.roccpa.org.tw/member_search/more?id=8F39AA6F-1893-41E7-8B3B-4D4D589F3E8B</t>
        </is>
      </c>
    </row>
    <row r="110">
      <c r="A110" s="10" t="n">
        <v>109</v>
      </c>
      <c r="B110" s="11" t="inlineStr">
        <is>
          <t>安侯建業聯合會計師事務所</t>
        </is>
      </c>
      <c r="C110" s="11" t="inlineStr">
        <is>
          <t>KPMG 安侯建業</t>
        </is>
      </c>
      <c r="D110" s="11" t="inlineStr">
        <is>
          <t>吳能吉</t>
        </is>
      </c>
      <c r="E110" s="10" t="inlineStr">
        <is>
          <t>高雄分所</t>
        </is>
      </c>
      <c r="F110" s="12" t="inlineStr">
        <is>
          <t>高雄市前金區中正四路211號12樓之6</t>
        </is>
      </c>
      <c r="G110" s="12" t="inlineStr">
        <is>
          <t>台北市信義區信義路五段7號68樓</t>
        </is>
      </c>
      <c r="H110" s="12" t="inlineStr">
        <is>
          <t>高雄市前金區中正四路211號12樓之6</t>
        </is>
      </c>
      <c r="I110" s="10" t="inlineStr">
        <is>
          <t>110/08/02</t>
        </is>
      </c>
      <c r="J110" s="11" t="inlineStr">
        <is>
          <t>全聯會一字第1100320</t>
        </is>
      </c>
      <c r="K110" s="10" t="inlineStr">
        <is>
          <t>高市</t>
        </is>
      </c>
      <c r="L110" s="10" t="inlineStr">
        <is>
          <t>110/08/02</t>
        </is>
      </c>
      <c r="M110" s="10" t="inlineStr">
        <is>
          <t>1080</t>
        </is>
      </c>
      <c r="N110" s="10" t="inlineStr">
        <is>
          <t>2026-06-05</t>
        </is>
      </c>
      <c r="O110" s="11" t="inlineStr">
        <is>
          <t>https://www.roccpa.org.tw/member_search/more?id=3F6C967C-B170-4AC6-9C36-17B5BA76E550</t>
        </is>
      </c>
    </row>
    <row r="111">
      <c r="A111" s="10" t="n">
        <v>110</v>
      </c>
      <c r="B111" s="11" t="inlineStr">
        <is>
          <t>安侯建業聯合會計師事務所</t>
        </is>
      </c>
      <c r="C111" s="11" t="inlineStr">
        <is>
          <t>KPMG 安侯建業</t>
        </is>
      </c>
      <c r="D111" s="11" t="inlineStr">
        <is>
          <t>許振隆</t>
        </is>
      </c>
      <c r="E111" s="10" t="inlineStr">
        <is>
          <t>高雄分所</t>
        </is>
      </c>
      <c r="F111" s="12" t="inlineStr">
        <is>
          <t>高雄市前金區中正四路211號12樓之6</t>
        </is>
      </c>
      <c r="G111" s="12" t="inlineStr">
        <is>
          <t>台北市信義區信義路五段7號68樓</t>
        </is>
      </c>
      <c r="H111" s="12" t="inlineStr">
        <is>
          <t>高雄市前金區中正四路211號12樓之6</t>
        </is>
      </c>
      <c r="I111" s="10" t="inlineStr"/>
      <c r="J111" s="11" t="inlineStr"/>
      <c r="K111" s="10" t="inlineStr">
        <is>
          <t>高市</t>
        </is>
      </c>
      <c r="L111" s="10" t="inlineStr">
        <is>
          <t>092/03/07</t>
        </is>
      </c>
      <c r="M111" s="10" t="inlineStr">
        <is>
          <t>518</t>
        </is>
      </c>
      <c r="N111" s="10" t="inlineStr">
        <is>
          <t>2026-06-05</t>
        </is>
      </c>
      <c r="O111" s="11" t="inlineStr">
        <is>
          <t>https://www.roccpa.org.tw/member_search/more?id=3570198D-9AFD-4777-BCF0-E2128781E173</t>
        </is>
      </c>
    </row>
    <row r="112">
      <c r="A112" s="10" t="n">
        <v>111</v>
      </c>
      <c r="B112" s="11" t="inlineStr">
        <is>
          <t>安侯建業聯合會計師事務所</t>
        </is>
      </c>
      <c r="C112" s="11" t="inlineStr">
        <is>
          <t>KPMG 安侯建業</t>
        </is>
      </c>
      <c r="D112" s="11" t="inlineStr">
        <is>
          <t>陳永祥</t>
        </is>
      </c>
      <c r="E112" s="10" t="inlineStr">
        <is>
          <t>高雄分所</t>
        </is>
      </c>
      <c r="F112" s="12" t="inlineStr">
        <is>
          <t>高雄市前金區中正四路211號12樓之6</t>
        </is>
      </c>
      <c r="G112" s="12" t="inlineStr">
        <is>
          <t>台北市信義區信義路五段7號68樓</t>
        </is>
      </c>
      <c r="H112" s="12" t="inlineStr">
        <is>
          <t>高雄市前金區中正四路211號12樓之6</t>
        </is>
      </c>
      <c r="I112" s="10" t="inlineStr">
        <is>
          <t>111/02/07</t>
        </is>
      </c>
      <c r="J112" s="11" t="inlineStr">
        <is>
          <t>全聯會一字第1110072</t>
        </is>
      </c>
      <c r="K112" s="10" t="inlineStr">
        <is>
          <t>高市</t>
        </is>
      </c>
      <c r="L112" s="10" t="inlineStr">
        <is>
          <t>111/02/07</t>
        </is>
      </c>
      <c r="M112" s="10" t="inlineStr">
        <is>
          <t>1089</t>
        </is>
      </c>
      <c r="N112" s="10" t="inlineStr">
        <is>
          <t>2026-06-05</t>
        </is>
      </c>
      <c r="O112" s="11" t="inlineStr">
        <is>
          <t>https://www.roccpa.org.tw/member_search/more?id=E8EFC46B-2D85-4695-93F9-E463532E66B5</t>
        </is>
      </c>
    </row>
    <row r="113">
      <c r="A113" s="10" t="n">
        <v>112</v>
      </c>
      <c r="B113" s="11" t="inlineStr">
        <is>
          <t>安侯建業聯合會計師事務所</t>
        </is>
      </c>
      <c r="C113" s="11" t="inlineStr">
        <is>
          <t>KPMG 安侯建業</t>
        </is>
      </c>
      <c r="D113" s="11" t="inlineStr">
        <is>
          <t>高鈺倫</t>
        </is>
      </c>
      <c r="E113" s="10" t="inlineStr">
        <is>
          <t>高雄分所</t>
        </is>
      </c>
      <c r="F113" s="12" t="inlineStr">
        <is>
          <t>高雄市前金區中正四路211號12樓之6</t>
        </is>
      </c>
      <c r="G113" s="12" t="inlineStr">
        <is>
          <t>台北市信義區信義路五段7號68樓</t>
        </is>
      </c>
      <c r="H113" s="12" t="inlineStr">
        <is>
          <t>高雄市前金區中正四路211號12樓之6</t>
        </is>
      </c>
      <c r="I113" s="10" t="inlineStr">
        <is>
          <t>113/01/15</t>
        </is>
      </c>
      <c r="J113" s="11" t="inlineStr">
        <is>
          <t>全聯會一字第1130000030號</t>
        </is>
      </c>
      <c r="K113" s="10" t="inlineStr">
        <is>
          <t>高市</t>
        </is>
      </c>
      <c r="L113" s="10" t="inlineStr">
        <is>
          <t>113/01/15</t>
        </is>
      </c>
      <c r="M113" s="10" t="inlineStr">
        <is>
          <t>1119</t>
        </is>
      </c>
      <c r="N113" s="10" t="inlineStr">
        <is>
          <t>2026-06-05</t>
        </is>
      </c>
      <c r="O113" s="11" t="inlineStr">
        <is>
          <t>https://www.roccpa.org.tw/member_search/more?id=CFDC78D2-A904-4F80-8C3A-D5BA9DB88734</t>
        </is>
      </c>
    </row>
  </sheetData>
  <autoFilter ref="A1:O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2" customWidth="1" min="4" max="4"/>
    <col width="11" customWidth="1" min="5" max="5"/>
    <col width="40" customWidth="1" min="6" max="6"/>
    <col width="32" customWidth="1" min="7" max="7"/>
    <col width="32" customWidth="1" min="8" max="8"/>
    <col width="14" customWidth="1" min="9" max="9"/>
    <col width="26" customWidth="1" min="10" max="10"/>
    <col width="10" customWidth="1" min="11" max="11"/>
    <col width="12" customWidth="1" min="12" max="12"/>
    <col width="10" customWidth="1" min="13" max="13"/>
    <col width="15" customWidth="1" min="14" max="14"/>
    <col width="60" customWidth="1" min="15" max="15"/>
  </cols>
  <sheetData>
    <row r="1" ht="22" customHeight="1">
      <c r="A1" s="3" t="inlineStr">
        <is>
          <t>序號</t>
        </is>
      </c>
      <c r="B1" s="3" t="inlineStr">
        <is>
          <t>事務所名稱</t>
        </is>
      </c>
      <c r="C1" s="3" t="inlineStr">
        <is>
          <t>國際品牌</t>
        </is>
      </c>
      <c r="D1" s="3" t="inlineStr">
        <is>
          <t>會計師姓名</t>
        </is>
      </c>
      <c r="E1" s="3" t="inlineStr">
        <is>
          <t>所屬分所</t>
        </is>
      </c>
      <c r="F1" s="3" t="inlineStr">
        <is>
          <t>辦公室地址</t>
        </is>
      </c>
      <c r="G1" s="3" t="inlineStr">
        <is>
          <t>主事務所地址</t>
        </is>
      </c>
      <c r="H1" s="3" t="inlineStr">
        <is>
          <t>分事務所地址</t>
        </is>
      </c>
      <c r="I1" s="3" t="inlineStr">
        <is>
          <t>執業登記日期</t>
        </is>
      </c>
      <c r="J1" s="3" t="inlineStr">
        <is>
          <t>執業登記文號</t>
        </is>
      </c>
      <c r="K1" s="3" t="inlineStr">
        <is>
          <t>所屬公會</t>
        </is>
      </c>
      <c r="L1" s="3" t="inlineStr">
        <is>
          <t>入會日期</t>
        </is>
      </c>
      <c r="M1" s="3" t="inlineStr">
        <is>
          <t>會籍編號</t>
        </is>
      </c>
      <c r="N1" s="3" t="inlineStr">
        <is>
          <t>資料最後更新日</t>
        </is>
      </c>
      <c r="O1" s="3" t="inlineStr">
        <is>
          <t>明細連結</t>
        </is>
      </c>
    </row>
    <row r="2">
      <c r="A2" s="10" t="n">
        <v>1</v>
      </c>
      <c r="B2" s="11" t="inlineStr">
        <is>
          <t>安永聯合會計師事務所</t>
        </is>
      </c>
      <c r="C2" s="11" t="inlineStr">
        <is>
          <t>EY 安永</t>
        </is>
      </c>
      <c r="D2" s="11" t="inlineStr">
        <is>
          <t>何淑芬</t>
        </is>
      </c>
      <c r="E2" s="10" t="inlineStr">
        <is>
          <t>台北總所</t>
        </is>
      </c>
      <c r="F2" s="12" t="inlineStr">
        <is>
          <t>台北市信義區基隆路一段333號9樓</t>
        </is>
      </c>
      <c r="G2" s="12" t="inlineStr">
        <is>
          <t>台北市信義區基隆路一段333號9樓</t>
        </is>
      </c>
      <c r="H2" s="12" t="inlineStr"/>
      <c r="I2" s="10" t="inlineStr">
        <is>
          <t>100/07/12</t>
        </is>
      </c>
      <c r="J2" s="11" t="inlineStr">
        <is>
          <t>全聯會一字第1000275</t>
        </is>
      </c>
      <c r="K2" s="10" t="inlineStr">
        <is>
          <t>北市</t>
        </is>
      </c>
      <c r="L2" s="10" t="inlineStr">
        <is>
          <t>100/08/10</t>
        </is>
      </c>
      <c r="M2" s="10" t="inlineStr">
        <is>
          <t>3376</t>
        </is>
      </c>
      <c r="N2" s="10" t="inlineStr">
        <is>
          <t>2026-06-05</t>
        </is>
      </c>
      <c r="O2" s="11" t="inlineStr">
        <is>
          <t>https://www.roccpa.org.tw/member_search/more?id=DF676DCA-9804-485F-8CB7-70C790413E6F</t>
        </is>
      </c>
    </row>
    <row r="3">
      <c r="A3" s="10" t="n">
        <v>2</v>
      </c>
      <c r="B3" s="11" t="inlineStr">
        <is>
          <t>安永聯合會計師事務所</t>
        </is>
      </c>
      <c r="C3" s="11" t="inlineStr">
        <is>
          <t>EY 安永</t>
        </is>
      </c>
      <c r="D3" s="11" t="inlineStr">
        <is>
          <t>余倩如</t>
        </is>
      </c>
      <c r="E3" s="10" t="inlineStr">
        <is>
          <t>台北總所</t>
        </is>
      </c>
      <c r="F3" s="12" t="inlineStr">
        <is>
          <t>台北市信義區基隆路一段333號9樓</t>
        </is>
      </c>
      <c r="G3" s="12" t="inlineStr">
        <is>
          <t>台北市信義區基隆路一段333號9樓</t>
        </is>
      </c>
      <c r="H3" s="12" t="inlineStr"/>
      <c r="I3" s="10" t="inlineStr">
        <is>
          <t>103/05/16</t>
        </is>
      </c>
      <c r="J3" s="11" t="inlineStr">
        <is>
          <t>全聯會一字第1030202</t>
        </is>
      </c>
      <c r="K3" s="10" t="inlineStr">
        <is>
          <t>北市</t>
        </is>
      </c>
      <c r="L3" s="10" t="inlineStr">
        <is>
          <t>103/06/06</t>
        </is>
      </c>
      <c r="M3" s="10" t="inlineStr">
        <is>
          <t>3703</t>
        </is>
      </c>
      <c r="N3" s="10" t="inlineStr">
        <is>
          <t>2026-06-05</t>
        </is>
      </c>
      <c r="O3" s="11" t="inlineStr">
        <is>
          <t>https://www.roccpa.org.tw/member_search/more?id=78CAD443-130E-4860-98C4-2131EA42F484</t>
        </is>
      </c>
    </row>
    <row r="4">
      <c r="A4" s="10" t="n">
        <v>3</v>
      </c>
      <c r="B4" s="11" t="inlineStr">
        <is>
          <t>安永聯合會計師事務所</t>
        </is>
      </c>
      <c r="C4" s="11" t="inlineStr">
        <is>
          <t>EY 安永</t>
        </is>
      </c>
      <c r="D4" s="11" t="inlineStr">
        <is>
          <t>傅文芳</t>
        </is>
      </c>
      <c r="E4" s="10" t="inlineStr">
        <is>
          <t>台北總所</t>
        </is>
      </c>
      <c r="F4" s="12" t="inlineStr">
        <is>
          <t>台北市信義區基隆路一段333號9樓</t>
        </is>
      </c>
      <c r="G4" s="12" t="inlineStr">
        <is>
          <t>台北市信義區基隆路一段333號9樓</t>
        </is>
      </c>
      <c r="H4" s="12" t="inlineStr"/>
      <c r="I4" s="10" t="inlineStr"/>
      <c r="J4" s="11" t="inlineStr"/>
      <c r="K4" s="10" t="inlineStr">
        <is>
          <t>北市</t>
        </is>
      </c>
      <c r="L4" s="10" t="inlineStr">
        <is>
          <t>086/07/08</t>
        </is>
      </c>
      <c r="M4" s="10" t="inlineStr">
        <is>
          <t>1923</t>
        </is>
      </c>
      <c r="N4" s="10" t="inlineStr">
        <is>
          <t>2026-06-05</t>
        </is>
      </c>
      <c r="O4" s="11" t="inlineStr">
        <is>
          <t>https://www.roccpa.org.tw/member_search/more?id=17DD0B8E-A574-4C6B-ACDE-CD46521679D3</t>
        </is>
      </c>
    </row>
    <row r="5">
      <c r="A5" s="10" t="n">
        <v>4</v>
      </c>
      <c r="B5" s="11" t="inlineStr">
        <is>
          <t>安永聯合會計師事務所</t>
        </is>
      </c>
      <c r="C5" s="11" t="inlineStr">
        <is>
          <t>EY 安永</t>
        </is>
      </c>
      <c r="D5" s="11" t="inlineStr">
        <is>
          <t>劉榮進</t>
        </is>
      </c>
      <c r="E5" s="10" t="inlineStr">
        <is>
          <t>台北總所</t>
        </is>
      </c>
      <c r="F5" s="12" t="inlineStr">
        <is>
          <t>台北市信義區基隆路一段333號9樓</t>
        </is>
      </c>
      <c r="G5" s="12" t="inlineStr">
        <is>
          <t>台北市信義區基隆路一段333號9樓</t>
        </is>
      </c>
      <c r="H5" s="12" t="inlineStr"/>
      <c r="I5" s="10" t="inlineStr">
        <is>
          <t>109/03/18</t>
        </is>
      </c>
      <c r="J5" s="11" t="inlineStr">
        <is>
          <t>全聯會ㄧ字第1090112</t>
        </is>
      </c>
      <c r="K5" s="10" t="inlineStr">
        <is>
          <t>北市</t>
        </is>
      </c>
      <c r="L5" s="10" t="inlineStr">
        <is>
          <t>109/03/18</t>
        </is>
      </c>
      <c r="M5" s="10" t="inlineStr">
        <is>
          <t>4235</t>
        </is>
      </c>
      <c r="N5" s="10" t="inlineStr">
        <is>
          <t>2026-06-05</t>
        </is>
      </c>
      <c r="O5" s="11" t="inlineStr">
        <is>
          <t>https://www.roccpa.org.tw/member_search/more?id=F148DA0D-CCB2-49DE-A376-B64F0B34EBC6</t>
        </is>
      </c>
    </row>
    <row r="6">
      <c r="A6" s="10" t="n">
        <v>5</v>
      </c>
      <c r="B6" s="11" t="inlineStr">
        <is>
          <t>安永聯合會計師事務所</t>
        </is>
      </c>
      <c r="C6" s="11" t="inlineStr">
        <is>
          <t>EY 安永</t>
        </is>
      </c>
      <c r="D6" s="11" t="inlineStr">
        <is>
          <t>吳培源</t>
        </is>
      </c>
      <c r="E6" s="10" t="inlineStr">
        <is>
          <t>台北總所</t>
        </is>
      </c>
      <c r="F6" s="12" t="inlineStr">
        <is>
          <t>台北市信義區基隆路一段333號9樓</t>
        </is>
      </c>
      <c r="G6" s="12" t="inlineStr">
        <is>
          <t>台北市信義區基隆路一段333號9樓</t>
        </is>
      </c>
      <c r="H6" s="12" t="inlineStr"/>
      <c r="I6" s="10" t="inlineStr">
        <is>
          <t>111/06/20</t>
        </is>
      </c>
      <c r="J6" s="11" t="inlineStr">
        <is>
          <t>全聯會一字第1110236</t>
        </is>
      </c>
      <c r="K6" s="10" t="inlineStr">
        <is>
          <t>北市</t>
        </is>
      </c>
      <c r="L6" s="10" t="inlineStr">
        <is>
          <t>111/06/20</t>
        </is>
      </c>
      <c r="M6" s="10" t="inlineStr">
        <is>
          <t>4443</t>
        </is>
      </c>
      <c r="N6" s="10" t="inlineStr">
        <is>
          <t>2026-06-05</t>
        </is>
      </c>
      <c r="O6" s="11" t="inlineStr">
        <is>
          <t>https://www.roccpa.org.tw/member_search/more?id=F0B94F11-6952-4AE7-9745-BF425450DBC3</t>
        </is>
      </c>
    </row>
    <row r="7">
      <c r="A7" s="10" t="n">
        <v>6</v>
      </c>
      <c r="B7" s="11" t="inlineStr">
        <is>
          <t>安永聯合會計師事務所</t>
        </is>
      </c>
      <c r="C7" s="11" t="inlineStr">
        <is>
          <t>EY 安永</t>
        </is>
      </c>
      <c r="D7" s="11" t="inlineStr">
        <is>
          <t>吳雅君</t>
        </is>
      </c>
      <c r="E7" s="10" t="inlineStr">
        <is>
          <t>台北總所</t>
        </is>
      </c>
      <c r="F7" s="12" t="inlineStr">
        <is>
          <t>台北市信義區基隆路一段333號9樓</t>
        </is>
      </c>
      <c r="G7" s="12" t="inlineStr">
        <is>
          <t>台北市信義區基隆路一段333號9樓</t>
        </is>
      </c>
      <c r="H7" s="12" t="inlineStr"/>
      <c r="I7" s="10" t="inlineStr">
        <is>
          <t>109/11/03</t>
        </is>
      </c>
      <c r="J7" s="11" t="inlineStr">
        <is>
          <t>全聯會一字第1090424</t>
        </is>
      </c>
      <c r="K7" s="10" t="inlineStr">
        <is>
          <t>北市</t>
        </is>
      </c>
      <c r="L7" s="10" t="inlineStr">
        <is>
          <t>109/11/03</t>
        </is>
      </c>
      <c r="M7" s="10" t="inlineStr">
        <is>
          <t>4281</t>
        </is>
      </c>
      <c r="N7" s="10" t="inlineStr">
        <is>
          <t>2026-06-05</t>
        </is>
      </c>
      <c r="O7" s="11" t="inlineStr">
        <is>
          <t>https://www.roccpa.org.tw/member_search/more?id=E4B561F2-68AD-4975-BFE1-3D55F95E60A3</t>
        </is>
      </c>
    </row>
    <row r="8">
      <c r="A8" s="10" t="n">
        <v>7</v>
      </c>
      <c r="B8" s="11" t="inlineStr">
        <is>
          <t>安永聯合會計師事務所</t>
        </is>
      </c>
      <c r="C8" s="11" t="inlineStr">
        <is>
          <t>EY 安永</t>
        </is>
      </c>
      <c r="D8" s="11" t="inlineStr">
        <is>
          <t>呂倩雯</t>
        </is>
      </c>
      <c r="E8" s="10" t="inlineStr">
        <is>
          <t>台北總所</t>
        </is>
      </c>
      <c r="F8" s="12" t="inlineStr">
        <is>
          <t>台北市信義區基隆路一段333號9樓</t>
        </is>
      </c>
      <c r="G8" s="12" t="inlineStr">
        <is>
          <t>台北市信義區基隆路一段333號9樓</t>
        </is>
      </c>
      <c r="H8" s="12" t="inlineStr"/>
      <c r="I8" s="10" t="inlineStr">
        <is>
          <t>107/07/02</t>
        </is>
      </c>
      <c r="J8" s="11" t="inlineStr">
        <is>
          <t>全聯會一字第1070276</t>
        </is>
      </c>
      <c r="K8" s="10" t="inlineStr">
        <is>
          <t>北市</t>
        </is>
      </c>
      <c r="L8" s="10" t="inlineStr">
        <is>
          <t>107/07/02</t>
        </is>
      </c>
      <c r="M8" s="10" t="inlineStr">
        <is>
          <t>4108</t>
        </is>
      </c>
      <c r="N8" s="10" t="inlineStr">
        <is>
          <t>2026-06-05</t>
        </is>
      </c>
      <c r="O8" s="11" t="inlineStr">
        <is>
          <t>https://www.roccpa.org.tw/member_search/more?id=DA1F65BC-E49F-4C17-B1A4-679868F83AFE</t>
        </is>
      </c>
    </row>
    <row r="9">
      <c r="A9" s="10" t="n">
        <v>8</v>
      </c>
      <c r="B9" s="11" t="inlineStr">
        <is>
          <t>安永聯合會計師事務所</t>
        </is>
      </c>
      <c r="C9" s="11" t="inlineStr">
        <is>
          <t>EY 安永</t>
        </is>
      </c>
      <c r="D9" s="11" t="inlineStr">
        <is>
          <t>孫孝文</t>
        </is>
      </c>
      <c r="E9" s="10" t="inlineStr">
        <is>
          <t>台北總所</t>
        </is>
      </c>
      <c r="F9" s="12" t="inlineStr">
        <is>
          <t>台北市信義區基隆路一段333號9樓</t>
        </is>
      </c>
      <c r="G9" s="12" t="inlineStr">
        <is>
          <t>台北市信義區基隆路一段333號9樓</t>
        </is>
      </c>
      <c r="H9" s="12" t="inlineStr"/>
      <c r="I9" s="10" t="inlineStr">
        <is>
          <t>110/06/25</t>
        </is>
      </c>
      <c r="J9" s="11" t="inlineStr">
        <is>
          <t>全聯會一字第1100262</t>
        </is>
      </c>
      <c r="K9" s="10" t="inlineStr">
        <is>
          <t>中市</t>
        </is>
      </c>
      <c r="L9" s="10" t="inlineStr">
        <is>
          <t>110/06/25</t>
        </is>
      </c>
      <c r="M9" s="10" t="inlineStr">
        <is>
          <t>1033</t>
        </is>
      </c>
      <c r="N9" s="10" t="inlineStr">
        <is>
          <t>2026-06-05</t>
        </is>
      </c>
      <c r="O9" s="11" t="inlineStr">
        <is>
          <t>https://www.roccpa.org.tw/member_search/more?id=39D77466-2FA5-4DAF-8C75-D65300BFFC82</t>
        </is>
      </c>
    </row>
    <row r="10">
      <c r="A10" s="10" t="n">
        <v>9</v>
      </c>
      <c r="B10" s="11" t="inlineStr">
        <is>
          <t>安永聯合會計師事務所</t>
        </is>
      </c>
      <c r="C10" s="11" t="inlineStr">
        <is>
          <t>EY 安永</t>
        </is>
      </c>
      <c r="D10" s="11" t="inlineStr">
        <is>
          <t>張啓晉</t>
        </is>
      </c>
      <c r="E10" s="10" t="inlineStr">
        <is>
          <t>台北總所</t>
        </is>
      </c>
      <c r="F10" s="12" t="inlineStr">
        <is>
          <t>台北市信義區基隆路一段333號9樓</t>
        </is>
      </c>
      <c r="G10" s="12" t="inlineStr">
        <is>
          <t>台北市信義區基隆路一段333號9樓</t>
        </is>
      </c>
      <c r="H10" s="12" t="inlineStr"/>
      <c r="I10" s="10" t="inlineStr">
        <is>
          <t>115/07/01</t>
        </is>
      </c>
      <c r="J10" s="11" t="inlineStr">
        <is>
          <t>全聯會一字第1150000317號</t>
        </is>
      </c>
      <c r="K10" s="10" t="inlineStr">
        <is>
          <t>北市</t>
        </is>
      </c>
      <c r="L10" s="10" t="inlineStr">
        <is>
          <t>115/07/01</t>
        </is>
      </c>
      <c r="M10" s="10" t="inlineStr">
        <is>
          <t>4908</t>
        </is>
      </c>
      <c r="N10" s="10" t="inlineStr">
        <is>
          <t>2026-07-06</t>
        </is>
      </c>
      <c r="O10" s="11" t="inlineStr">
        <is>
          <t>https://www.roccpa.org.tw/member_search/more?id=b2fe98cd058a450cb1a5544b5ca6abe9</t>
        </is>
      </c>
    </row>
    <row r="11">
      <c r="A11" s="10" t="n">
        <v>10</v>
      </c>
      <c r="B11" s="11" t="inlineStr">
        <is>
          <t>安永聯合會計師事務所</t>
        </is>
      </c>
      <c r="C11" s="11" t="inlineStr">
        <is>
          <t>EY 安永</t>
        </is>
      </c>
      <c r="D11" s="11" t="inlineStr">
        <is>
          <t>張巧穎</t>
        </is>
      </c>
      <c r="E11" s="10" t="inlineStr">
        <is>
          <t>台北總所</t>
        </is>
      </c>
      <c r="F11" s="12" t="inlineStr">
        <is>
          <t>台北市信義區基隆路一段333號9樓</t>
        </is>
      </c>
      <c r="G11" s="12" t="inlineStr">
        <is>
          <t>台北市信義區基隆路一段333號9樓</t>
        </is>
      </c>
      <c r="H11" s="12" t="inlineStr"/>
      <c r="I11" s="10" t="inlineStr">
        <is>
          <t>110/06/25</t>
        </is>
      </c>
      <c r="J11" s="11" t="inlineStr">
        <is>
          <t>全聯會一字第1100261</t>
        </is>
      </c>
      <c r="K11" s="10" t="inlineStr">
        <is>
          <t>北市</t>
        </is>
      </c>
      <c r="L11" s="10" t="inlineStr">
        <is>
          <t>110/06/25</t>
        </is>
      </c>
      <c r="M11" s="10" t="inlineStr">
        <is>
          <t>4354</t>
        </is>
      </c>
      <c r="N11" s="10" t="inlineStr">
        <is>
          <t>2026-06-05</t>
        </is>
      </c>
      <c r="O11" s="11" t="inlineStr">
        <is>
          <t>https://www.roccpa.org.tw/member_search/more?id=262E6C49-4F1D-4500-AA59-BC1E6C5B8C12</t>
        </is>
      </c>
    </row>
    <row r="12">
      <c r="A12" s="10" t="n">
        <v>11</v>
      </c>
      <c r="B12" s="11" t="inlineStr">
        <is>
          <t>安永聯合會計師事務所</t>
        </is>
      </c>
      <c r="C12" s="11" t="inlineStr">
        <is>
          <t>EY 安永</t>
        </is>
      </c>
      <c r="D12" s="11" t="inlineStr">
        <is>
          <t>張志銘</t>
        </is>
      </c>
      <c r="E12" s="10" t="inlineStr">
        <is>
          <t>台北總所</t>
        </is>
      </c>
      <c r="F12" s="12" t="inlineStr">
        <is>
          <t>台北市信義區基隆路一段333號9樓</t>
        </is>
      </c>
      <c r="G12" s="12" t="inlineStr">
        <is>
          <t>台北市信義區基隆路一段333號9樓</t>
        </is>
      </c>
      <c r="H12" s="12" t="inlineStr"/>
      <c r="I12" s="10" t="inlineStr"/>
      <c r="J12" s="11" t="inlineStr"/>
      <c r="K12" s="10" t="inlineStr">
        <is>
          <t>北市</t>
        </is>
      </c>
      <c r="L12" s="10" t="inlineStr">
        <is>
          <t>091/12/16</t>
        </is>
      </c>
      <c r="M12" s="10" t="inlineStr">
        <is>
          <t>2525</t>
        </is>
      </c>
      <c r="N12" s="10" t="inlineStr">
        <is>
          <t>2026-06-05</t>
        </is>
      </c>
      <c r="O12" s="11" t="inlineStr">
        <is>
          <t>https://www.roccpa.org.tw/member_search/more?id=6CB91D23-954D-428B-AA96-CE8D97FEECE8</t>
        </is>
      </c>
    </row>
    <row r="13">
      <c r="A13" s="10" t="n">
        <v>12</v>
      </c>
      <c r="B13" s="11" t="inlineStr">
        <is>
          <t>安永聯合會計師事務所</t>
        </is>
      </c>
      <c r="C13" s="11" t="inlineStr">
        <is>
          <t>EY 安永</t>
        </is>
      </c>
      <c r="D13" s="11" t="inlineStr">
        <is>
          <t>張正道</t>
        </is>
      </c>
      <c r="E13" s="10" t="inlineStr">
        <is>
          <t>台北總所</t>
        </is>
      </c>
      <c r="F13" s="12" t="inlineStr">
        <is>
          <t>台北市信義區基隆路一段333號9樓</t>
        </is>
      </c>
      <c r="G13" s="12" t="inlineStr">
        <is>
          <t>台北市信義區基隆路一段333號9樓</t>
        </is>
      </c>
      <c r="H13" s="12" t="inlineStr"/>
      <c r="I13" s="10" t="inlineStr">
        <is>
          <t>103/05/16</t>
        </is>
      </c>
      <c r="J13" s="11" t="inlineStr">
        <is>
          <t>全聯會一字第1030203</t>
        </is>
      </c>
      <c r="K13" s="10" t="inlineStr">
        <is>
          <t>北市</t>
        </is>
      </c>
      <c r="L13" s="10" t="inlineStr">
        <is>
          <t>103/06/06</t>
        </is>
      </c>
      <c r="M13" s="10" t="inlineStr">
        <is>
          <t>3702</t>
        </is>
      </c>
      <c r="N13" s="10" t="inlineStr">
        <is>
          <t>2026-06-05</t>
        </is>
      </c>
      <c r="O13" s="11" t="inlineStr">
        <is>
          <t>https://www.roccpa.org.tw/member_search/more?id=E81E11FD-6DF8-4D32-89A2-6E4349FE0F34</t>
        </is>
      </c>
    </row>
    <row r="14">
      <c r="A14" s="10" t="n">
        <v>13</v>
      </c>
      <c r="B14" s="11" t="inlineStr">
        <is>
          <t>安永聯合會計師事務所</t>
        </is>
      </c>
      <c r="C14" s="11" t="inlineStr">
        <is>
          <t>EY 安永</t>
        </is>
      </c>
      <c r="D14" s="11" t="inlineStr">
        <is>
          <t>徐榮煌</t>
        </is>
      </c>
      <c r="E14" s="10" t="inlineStr">
        <is>
          <t>台北總所</t>
        </is>
      </c>
      <c r="F14" s="12" t="inlineStr">
        <is>
          <t>台北市信義區基隆路一段333號9樓</t>
        </is>
      </c>
      <c r="G14" s="12" t="inlineStr">
        <is>
          <t>台北市信義區基隆路一段333號9樓</t>
        </is>
      </c>
      <c r="H14" s="12" t="inlineStr"/>
      <c r="I14" s="10" t="inlineStr"/>
      <c r="J14" s="11" t="inlineStr"/>
      <c r="K14" s="10" t="inlineStr">
        <is>
          <t>北市</t>
        </is>
      </c>
      <c r="L14" s="10" t="inlineStr">
        <is>
          <t>088/10/14</t>
        </is>
      </c>
      <c r="M14" s="10" t="inlineStr">
        <is>
          <t>2205</t>
        </is>
      </c>
      <c r="N14" s="10" t="inlineStr">
        <is>
          <t>2026-06-05</t>
        </is>
      </c>
      <c r="O14" s="11" t="inlineStr">
        <is>
          <t>https://www.roccpa.org.tw/member_search/more?id=1E8C6C56-CDA8-4B33-9F40-BF1009B96E2C</t>
        </is>
      </c>
    </row>
    <row r="15">
      <c r="A15" s="10" t="n">
        <v>14</v>
      </c>
      <c r="B15" s="11" t="inlineStr">
        <is>
          <t>安永聯合會計師事務所</t>
        </is>
      </c>
      <c r="C15" s="11" t="inlineStr">
        <is>
          <t>EY 安永</t>
        </is>
      </c>
      <c r="D15" s="11" t="inlineStr">
        <is>
          <t>曾于哲</t>
        </is>
      </c>
      <c r="E15" s="10" t="inlineStr">
        <is>
          <t>台北總所</t>
        </is>
      </c>
      <c r="F15" s="12" t="inlineStr">
        <is>
          <t>台北市信義區基隆路一段333號9樓</t>
        </is>
      </c>
      <c r="G15" s="12" t="inlineStr">
        <is>
          <t>台北市信義區基隆路一段333號9樓</t>
        </is>
      </c>
      <c r="H15" s="12" t="inlineStr"/>
      <c r="I15" s="10" t="inlineStr">
        <is>
          <t>105/09/10</t>
        </is>
      </c>
      <c r="J15" s="11" t="inlineStr">
        <is>
          <t>全聯會一字第1050408</t>
        </is>
      </c>
      <c r="K15" s="10" t="inlineStr">
        <is>
          <t>北市</t>
        </is>
      </c>
      <c r="L15" s="10" t="inlineStr">
        <is>
          <t>105/10/12</t>
        </is>
      </c>
      <c r="M15" s="10" t="inlineStr">
        <is>
          <t>3968</t>
        </is>
      </c>
      <c r="N15" s="10" t="inlineStr">
        <is>
          <t>2026-06-05</t>
        </is>
      </c>
      <c r="O15" s="11" t="inlineStr">
        <is>
          <t>https://www.roccpa.org.tw/member_search/more?id=38E5AC40-C09F-4386-A779-D0BB64F63331</t>
        </is>
      </c>
    </row>
    <row r="16">
      <c r="A16" s="10" t="n">
        <v>15</v>
      </c>
      <c r="B16" s="11" t="inlineStr">
        <is>
          <t>安永聯合會計師事務所</t>
        </is>
      </c>
      <c r="C16" s="11" t="inlineStr">
        <is>
          <t>EY 安永</t>
        </is>
      </c>
      <c r="D16" s="11" t="inlineStr">
        <is>
          <t>李育儒</t>
        </is>
      </c>
      <c r="E16" s="10" t="inlineStr">
        <is>
          <t>台北總所</t>
        </is>
      </c>
      <c r="F16" s="12" t="inlineStr">
        <is>
          <t>台北市信義區基隆路一段333號9樓</t>
        </is>
      </c>
      <c r="G16" s="12" t="inlineStr">
        <is>
          <t>台北市信義區基隆路一段333號9樓</t>
        </is>
      </c>
      <c r="H16" s="12" t="inlineStr"/>
      <c r="I16" s="10" t="inlineStr">
        <is>
          <t>109/10/13</t>
        </is>
      </c>
      <c r="J16" s="11" t="inlineStr">
        <is>
          <t>全聯會一字第1090404</t>
        </is>
      </c>
      <c r="K16" s="10" t="inlineStr">
        <is>
          <t>北市</t>
        </is>
      </c>
      <c r="L16" s="10" t="inlineStr">
        <is>
          <t>109/10/13</t>
        </is>
      </c>
      <c r="M16" s="10" t="inlineStr">
        <is>
          <t>4278</t>
        </is>
      </c>
      <c r="N16" s="10" t="inlineStr">
        <is>
          <t>2026-06-05</t>
        </is>
      </c>
      <c r="O16" s="11" t="inlineStr">
        <is>
          <t>https://www.roccpa.org.tw/member_search/more?id=AC5FBF1E-88B7-4E7A-A0F1-89188D4BB29F</t>
        </is>
      </c>
    </row>
    <row r="17">
      <c r="A17" s="10" t="n">
        <v>16</v>
      </c>
      <c r="B17" s="11" t="inlineStr">
        <is>
          <t>安永聯合會計師事務所</t>
        </is>
      </c>
      <c r="C17" s="11" t="inlineStr">
        <is>
          <t>EY 安永</t>
        </is>
      </c>
      <c r="D17" s="11" t="inlineStr">
        <is>
          <t>林世寰</t>
        </is>
      </c>
      <c r="E17" s="10" t="inlineStr">
        <is>
          <t>台北總所</t>
        </is>
      </c>
      <c r="F17" s="12" t="inlineStr">
        <is>
          <t>台北市信義區基隆路一段333號9樓</t>
        </is>
      </c>
      <c r="G17" s="12" t="inlineStr">
        <is>
          <t>台北市信義區基隆路一段333號9樓</t>
        </is>
      </c>
      <c r="H17" s="12" t="inlineStr"/>
      <c r="I17" s="10" t="inlineStr">
        <is>
          <t>112/06/22</t>
        </is>
      </c>
      <c r="J17" s="11" t="inlineStr">
        <is>
          <t>全聯會一字第1120256</t>
        </is>
      </c>
      <c r="K17" s="10" t="inlineStr">
        <is>
          <t>北市</t>
        </is>
      </c>
      <c r="L17" s="10" t="inlineStr">
        <is>
          <t>112/06/29</t>
        </is>
      </c>
      <c r="M17" s="10" t="inlineStr">
        <is>
          <t>4546</t>
        </is>
      </c>
      <c r="N17" s="10" t="inlineStr">
        <is>
          <t>2026-06-05</t>
        </is>
      </c>
      <c r="O17" s="11" t="inlineStr">
        <is>
          <t>https://www.roccpa.org.tw/member_search/more?id=20C1B710-9337-4FAC-8C1D-253B480CC378</t>
        </is>
      </c>
    </row>
    <row r="18">
      <c r="A18" s="10" t="n">
        <v>17</v>
      </c>
      <c r="B18" s="11" t="inlineStr">
        <is>
          <t>安永聯合會計師事務所</t>
        </is>
      </c>
      <c r="C18" s="11" t="inlineStr">
        <is>
          <t>EY 安永</t>
        </is>
      </c>
      <c r="D18" s="11" t="inlineStr">
        <is>
          <t>林孟賢</t>
        </is>
      </c>
      <c r="E18" s="10" t="inlineStr">
        <is>
          <t>台北總所</t>
        </is>
      </c>
      <c r="F18" s="12" t="inlineStr">
        <is>
          <t>台北市信義區基隆路一段333號9樓</t>
        </is>
      </c>
      <c r="G18" s="12" t="inlineStr">
        <is>
          <t>台北市信義區基隆路一段333號9樓</t>
        </is>
      </c>
      <c r="H18" s="12" t="inlineStr"/>
      <c r="I18" s="10" t="inlineStr">
        <is>
          <t>113/07/15</t>
        </is>
      </c>
      <c r="J18" s="11" t="inlineStr">
        <is>
          <t>全聯會一字第1130000327號</t>
        </is>
      </c>
      <c r="K18" s="10" t="inlineStr">
        <is>
          <t>北市</t>
        </is>
      </c>
      <c r="L18" s="10" t="inlineStr">
        <is>
          <t>113/07/15</t>
        </is>
      </c>
      <c r="M18" s="10" t="inlineStr">
        <is>
          <t>4654</t>
        </is>
      </c>
      <c r="N18" s="10" t="inlineStr">
        <is>
          <t>2026-06-05</t>
        </is>
      </c>
      <c r="O18" s="11" t="inlineStr">
        <is>
          <t>https://www.roccpa.org.tw/member_search/more?id=9253BE37-E344-4F3E-817F-4CDA88599380</t>
        </is>
      </c>
    </row>
    <row r="19">
      <c r="A19" s="10" t="n">
        <v>18</v>
      </c>
      <c r="B19" s="11" t="inlineStr">
        <is>
          <t>安永聯合會計師事務所</t>
        </is>
      </c>
      <c r="C19" s="11" t="inlineStr">
        <is>
          <t>EY 安永</t>
        </is>
      </c>
      <c r="D19" s="11" t="inlineStr">
        <is>
          <t>林宜賢</t>
        </is>
      </c>
      <c r="E19" s="10" t="inlineStr">
        <is>
          <t>台北總所</t>
        </is>
      </c>
      <c r="F19" s="12" t="inlineStr">
        <is>
          <t>台北市信義區基隆路一段333號9樓</t>
        </is>
      </c>
      <c r="G19" s="12" t="inlineStr">
        <is>
          <t>台北市信義區基隆路一段333號9樓</t>
        </is>
      </c>
      <c r="H19" s="12" t="inlineStr"/>
      <c r="I19" s="10" t="inlineStr"/>
      <c r="J19" s="11" t="inlineStr"/>
      <c r="K19" s="10" t="inlineStr">
        <is>
          <t>北市</t>
        </is>
      </c>
      <c r="L19" s="10" t="inlineStr">
        <is>
          <t>090/03/15</t>
        </is>
      </c>
      <c r="M19" s="10" t="inlineStr">
        <is>
          <t>2348</t>
        </is>
      </c>
      <c r="N19" s="10" t="inlineStr">
        <is>
          <t>2026-06-05</t>
        </is>
      </c>
      <c r="O19" s="11" t="inlineStr">
        <is>
          <t>https://www.roccpa.org.tw/member_search/more?id=4A0CF9AA-4A27-4E2A-811D-59A4EBF4D0DF</t>
        </is>
      </c>
    </row>
    <row r="20">
      <c r="A20" s="10" t="n">
        <v>19</v>
      </c>
      <c r="B20" s="11" t="inlineStr">
        <is>
          <t>安永聯合會計師事務所</t>
        </is>
      </c>
      <c r="C20" s="11" t="inlineStr">
        <is>
          <t>EY 安永</t>
        </is>
      </c>
      <c r="D20" s="11" t="inlineStr">
        <is>
          <t>林志仁</t>
        </is>
      </c>
      <c r="E20" s="10" t="inlineStr">
        <is>
          <t>台北總所</t>
        </is>
      </c>
      <c r="F20" s="12" t="inlineStr">
        <is>
          <t>台北市信義區基隆路一段333號9樓</t>
        </is>
      </c>
      <c r="G20" s="12" t="inlineStr">
        <is>
          <t>台北市信義區基隆路一段333號9樓</t>
        </is>
      </c>
      <c r="H20" s="12" t="inlineStr"/>
      <c r="I20" s="10" t="inlineStr">
        <is>
          <t>111/06/20</t>
        </is>
      </c>
      <c r="J20" s="11" t="inlineStr">
        <is>
          <t>全聯會一字第1110234</t>
        </is>
      </c>
      <c r="K20" s="10" t="inlineStr">
        <is>
          <t>北市</t>
        </is>
      </c>
      <c r="L20" s="10" t="inlineStr">
        <is>
          <t>111/06/20</t>
        </is>
      </c>
      <c r="M20" s="10" t="inlineStr">
        <is>
          <t>4441</t>
        </is>
      </c>
      <c r="N20" s="10" t="inlineStr">
        <is>
          <t>2026-06-05</t>
        </is>
      </c>
      <c r="O20" s="11" t="inlineStr">
        <is>
          <t>https://www.roccpa.org.tw/member_search/more?id=FC149136-F393-4AC0-8DDF-9C3806B20A0E</t>
        </is>
      </c>
    </row>
    <row r="21">
      <c r="A21" s="10" t="n">
        <v>20</v>
      </c>
      <c r="B21" s="11" t="inlineStr">
        <is>
          <t>安永聯合會計師事務所</t>
        </is>
      </c>
      <c r="C21" s="11" t="inlineStr">
        <is>
          <t>EY 安永</t>
        </is>
      </c>
      <c r="D21" s="11" t="inlineStr">
        <is>
          <t>林志翔</t>
        </is>
      </c>
      <c r="E21" s="10" t="inlineStr">
        <is>
          <t>台北總所</t>
        </is>
      </c>
      <c r="F21" s="12" t="inlineStr">
        <is>
          <t>台北市信義區基隆路一段333號9樓</t>
        </is>
      </c>
      <c r="G21" s="12" t="inlineStr">
        <is>
          <t>台北市信義區基隆路一段333號9樓</t>
        </is>
      </c>
      <c r="H21" s="12" t="inlineStr"/>
      <c r="I21" s="10" t="inlineStr">
        <is>
          <t>103/05/16</t>
        </is>
      </c>
      <c r="J21" s="11" t="inlineStr">
        <is>
          <t>全聯會一字第1030201</t>
        </is>
      </c>
      <c r="K21" s="10" t="inlineStr">
        <is>
          <t>北市</t>
        </is>
      </c>
      <c r="L21" s="10" t="inlineStr">
        <is>
          <t>103/06/06</t>
        </is>
      </c>
      <c r="M21" s="10" t="inlineStr">
        <is>
          <t>3705</t>
        </is>
      </c>
      <c r="N21" s="10" t="inlineStr">
        <is>
          <t>2026-06-05</t>
        </is>
      </c>
      <c r="O21" s="11" t="inlineStr">
        <is>
          <t>https://www.roccpa.org.tw/member_search/more?id=8328EF3A-AAE7-490E-8625-870D6E74A67D</t>
        </is>
      </c>
    </row>
    <row r="22">
      <c r="A22" s="10" t="n">
        <v>21</v>
      </c>
      <c r="B22" s="11" t="inlineStr">
        <is>
          <t>安永聯合會計師事務所</t>
        </is>
      </c>
      <c r="C22" s="11" t="inlineStr">
        <is>
          <t>EY 安永</t>
        </is>
      </c>
      <c r="D22" s="11" t="inlineStr">
        <is>
          <t>林秀青</t>
        </is>
      </c>
      <c r="E22" s="10" t="inlineStr">
        <is>
          <t>台北總所</t>
        </is>
      </c>
      <c r="F22" s="12" t="inlineStr">
        <is>
          <t>台北市信義區基隆路一段333號9樓</t>
        </is>
      </c>
      <c r="G22" s="12" t="inlineStr">
        <is>
          <t>台北市信義區基隆路一段333號9樓</t>
        </is>
      </c>
      <c r="H22" s="12" t="inlineStr"/>
      <c r="I22" s="10" t="inlineStr">
        <is>
          <t>114/07/01</t>
        </is>
      </c>
      <c r="J22" s="11" t="inlineStr">
        <is>
          <t>全聯會一字第1140000260號</t>
        </is>
      </c>
      <c r="K22" s="10" t="inlineStr">
        <is>
          <t>北市</t>
        </is>
      </c>
      <c r="L22" s="10" t="inlineStr">
        <is>
          <t>114/07/01</t>
        </is>
      </c>
      <c r="M22" s="10" t="inlineStr">
        <is>
          <t>4734</t>
        </is>
      </c>
      <c r="N22" s="10" t="inlineStr">
        <is>
          <t>2026-06-05</t>
        </is>
      </c>
      <c r="O22" s="11" t="inlineStr">
        <is>
          <t>https://www.roccpa.org.tw/member_search/more?id=651C85C1-EFE6-465E-A7D1-C64123A7BFCE</t>
        </is>
      </c>
    </row>
    <row r="23">
      <c r="A23" s="10" t="n">
        <v>22</v>
      </c>
      <c r="B23" s="11" t="inlineStr">
        <is>
          <t>安永聯合會計師事務所</t>
        </is>
      </c>
      <c r="C23" s="11" t="inlineStr">
        <is>
          <t>EY 安永</t>
        </is>
      </c>
      <c r="D23" s="11" t="inlineStr">
        <is>
          <t>林素雯</t>
        </is>
      </c>
      <c r="E23" s="10" t="inlineStr">
        <is>
          <t>台北總所</t>
        </is>
      </c>
      <c r="F23" s="12" t="inlineStr">
        <is>
          <t>台北市信義區基隆路一段333號9樓</t>
        </is>
      </c>
      <c r="G23" s="12" t="inlineStr">
        <is>
          <t>台北市信義區基隆路一段333號9樓</t>
        </is>
      </c>
      <c r="H23" s="12" t="inlineStr"/>
      <c r="I23" s="10" t="inlineStr">
        <is>
          <t>099/12/31</t>
        </is>
      </c>
      <c r="J23" s="11" t="inlineStr">
        <is>
          <t>全聯會一字第09900645</t>
        </is>
      </c>
      <c r="K23" s="10" t="inlineStr">
        <is>
          <t>北市</t>
        </is>
      </c>
      <c r="L23" s="10" t="inlineStr">
        <is>
          <t>100/01/13</t>
        </is>
      </c>
      <c r="M23" s="10" t="inlineStr">
        <is>
          <t>3306</t>
        </is>
      </c>
      <c r="N23" s="10" t="inlineStr">
        <is>
          <t>2026-06-05</t>
        </is>
      </c>
      <c r="O23" s="11" t="inlineStr">
        <is>
          <t>https://www.roccpa.org.tw/member_search/more?id=C5B224F3-CE49-40E3-85BB-50258D495942</t>
        </is>
      </c>
    </row>
    <row r="24">
      <c r="A24" s="10" t="n">
        <v>23</v>
      </c>
      <c r="B24" s="11" t="inlineStr">
        <is>
          <t>安永聯合會計師事務所</t>
        </is>
      </c>
      <c r="C24" s="11" t="inlineStr">
        <is>
          <t>EY 安永</t>
        </is>
      </c>
      <c r="D24" s="11" t="inlineStr">
        <is>
          <t>林鈺芳</t>
        </is>
      </c>
      <c r="E24" s="10" t="inlineStr">
        <is>
          <t>台北總所</t>
        </is>
      </c>
      <c r="F24" s="12" t="inlineStr">
        <is>
          <t>台北市信義區基隆路一段333號9樓</t>
        </is>
      </c>
      <c r="G24" s="12" t="inlineStr">
        <is>
          <t>台北市信義區基隆路一段333號9樓</t>
        </is>
      </c>
      <c r="H24" s="12" t="inlineStr"/>
      <c r="I24" s="10" t="inlineStr">
        <is>
          <t>114/07/01</t>
        </is>
      </c>
      <c r="J24" s="11" t="inlineStr">
        <is>
          <t>全聯會一字第1140000261號</t>
        </is>
      </c>
      <c r="K24" s="10" t="inlineStr">
        <is>
          <t>北市</t>
        </is>
      </c>
      <c r="L24" s="10" t="inlineStr">
        <is>
          <t>114/07/01</t>
        </is>
      </c>
      <c r="M24" s="10" t="inlineStr">
        <is>
          <t>4735</t>
        </is>
      </c>
      <c r="N24" s="10" t="inlineStr">
        <is>
          <t>2026-06-05</t>
        </is>
      </c>
      <c r="O24" s="11" t="inlineStr">
        <is>
          <t>https://www.roccpa.org.tw/member_search/more?id=A30FC7CD-E0EF-421F-BE1B-5F170AF8835D</t>
        </is>
      </c>
    </row>
    <row r="25">
      <c r="A25" s="10" t="n">
        <v>24</v>
      </c>
      <c r="B25" s="11" t="inlineStr">
        <is>
          <t>安永聯合會計師事務所</t>
        </is>
      </c>
      <c r="C25" s="11" t="inlineStr">
        <is>
          <t>EY 安永</t>
        </is>
      </c>
      <c r="D25" s="11" t="inlineStr">
        <is>
          <t>楊弘斌</t>
        </is>
      </c>
      <c r="E25" s="10" t="inlineStr">
        <is>
          <t>台北總所</t>
        </is>
      </c>
      <c r="F25" s="12" t="inlineStr">
        <is>
          <t>台北市信義區基隆路一段333號9樓</t>
        </is>
      </c>
      <c r="G25" s="12" t="inlineStr">
        <is>
          <t>台北市信義區基隆路一段333號9樓</t>
        </is>
      </c>
      <c r="H25" s="12" t="inlineStr"/>
      <c r="I25" s="10" t="inlineStr">
        <is>
          <t>111/06/20</t>
        </is>
      </c>
      <c r="J25" s="11" t="inlineStr">
        <is>
          <t>全聯會一字第1110235</t>
        </is>
      </c>
      <c r="K25" s="10" t="inlineStr">
        <is>
          <t>北市</t>
        </is>
      </c>
      <c r="L25" s="10" t="inlineStr">
        <is>
          <t>111/06/20</t>
        </is>
      </c>
      <c r="M25" s="10" t="inlineStr">
        <is>
          <t>4442</t>
        </is>
      </c>
      <c r="N25" s="10" t="inlineStr">
        <is>
          <t>2026-06-05</t>
        </is>
      </c>
      <c r="O25" s="11" t="inlineStr">
        <is>
          <t>https://www.roccpa.org.tw/member_search/more?id=D7835F4B-583F-4EC5-BE2A-BA2B0C1543DD</t>
        </is>
      </c>
    </row>
    <row r="26">
      <c r="A26" s="10" t="n">
        <v>25</v>
      </c>
      <c r="B26" s="11" t="inlineStr">
        <is>
          <t>安永聯合會計師事務所</t>
        </is>
      </c>
      <c r="C26" s="11" t="inlineStr">
        <is>
          <t>EY 安永</t>
        </is>
      </c>
      <c r="D26" s="11" t="inlineStr">
        <is>
          <t>溫珮絃</t>
        </is>
      </c>
      <c r="E26" s="10" t="inlineStr">
        <is>
          <t>台北總所</t>
        </is>
      </c>
      <c r="F26" s="12" t="inlineStr">
        <is>
          <t>台北市信義區基隆路一段333號9樓</t>
        </is>
      </c>
      <c r="G26" s="12" t="inlineStr">
        <is>
          <t>台北市信義區基隆路一段333號9樓</t>
        </is>
      </c>
      <c r="H26" s="12" t="inlineStr"/>
      <c r="I26" s="10" t="inlineStr">
        <is>
          <t>113/07/15</t>
        </is>
      </c>
      <c r="J26" s="11" t="inlineStr">
        <is>
          <t>全聯會一字第1130000328號</t>
        </is>
      </c>
      <c r="K26" s="10" t="inlineStr">
        <is>
          <t>北市</t>
        </is>
      </c>
      <c r="L26" s="10" t="inlineStr">
        <is>
          <t>113/07/15</t>
        </is>
      </c>
      <c r="M26" s="10" t="inlineStr">
        <is>
          <t>4655</t>
        </is>
      </c>
      <c r="N26" s="10" t="inlineStr">
        <is>
          <t>2026-06-05</t>
        </is>
      </c>
      <c r="O26" s="11" t="inlineStr">
        <is>
          <t>https://www.roccpa.org.tw/member_search/more?id=EAC03D03-D2E1-43BD-B153-874CD61392D7</t>
        </is>
      </c>
    </row>
    <row r="27">
      <c r="A27" s="10" t="n">
        <v>26</v>
      </c>
      <c r="B27" s="11" t="inlineStr">
        <is>
          <t>安永聯合會計師事務所</t>
        </is>
      </c>
      <c r="C27" s="11" t="inlineStr">
        <is>
          <t>EY 安永</t>
        </is>
      </c>
      <c r="D27" s="11" t="inlineStr">
        <is>
          <t>王彥鈞</t>
        </is>
      </c>
      <c r="E27" s="10" t="inlineStr">
        <is>
          <t>台北總所</t>
        </is>
      </c>
      <c r="F27" s="12" t="inlineStr">
        <is>
          <t>台北市信義區基隆路一段333號9樓</t>
        </is>
      </c>
      <c r="G27" s="12" t="inlineStr">
        <is>
          <t>台北市信義區基隆路一段333號9樓</t>
        </is>
      </c>
      <c r="H27" s="12" t="inlineStr"/>
      <c r="I27" s="10" t="inlineStr"/>
      <c r="J27" s="11" t="inlineStr"/>
      <c r="K27" s="10" t="inlineStr">
        <is>
          <t>北市</t>
        </is>
      </c>
      <c r="L27" s="10" t="inlineStr">
        <is>
          <t>091/11/27</t>
        </is>
      </c>
      <c r="M27" s="10" t="inlineStr">
        <is>
          <t>2508</t>
        </is>
      </c>
      <c r="N27" s="10" t="inlineStr">
        <is>
          <t>2026-06-05</t>
        </is>
      </c>
      <c r="O27" s="11" t="inlineStr">
        <is>
          <t>https://www.roccpa.org.tw/member_search/more?id=424B077C-8C90-48BD-817A-1BA0D1EA4376</t>
        </is>
      </c>
    </row>
    <row r="28">
      <c r="A28" s="10" t="n">
        <v>27</v>
      </c>
      <c r="B28" s="11" t="inlineStr">
        <is>
          <t>安永聯合會計師事務所</t>
        </is>
      </c>
      <c r="C28" s="11" t="inlineStr">
        <is>
          <t>EY 安永</t>
        </is>
      </c>
      <c r="D28" s="11" t="inlineStr">
        <is>
          <t>王慕凡</t>
        </is>
      </c>
      <c r="E28" s="10" t="inlineStr">
        <is>
          <t>台北總所</t>
        </is>
      </c>
      <c r="F28" s="12" t="inlineStr">
        <is>
          <t>台北市信義區基隆路一段333號9樓</t>
        </is>
      </c>
      <c r="G28" s="12" t="inlineStr">
        <is>
          <t>台北市信義區基隆路一段333號9樓</t>
        </is>
      </c>
      <c r="H28" s="12" t="inlineStr"/>
      <c r="I28" s="10" t="inlineStr">
        <is>
          <t>101/11/08</t>
        </is>
      </c>
      <c r="J28" s="11" t="inlineStr">
        <is>
          <t>全聯會一字第1010402</t>
        </is>
      </c>
      <c r="K28" s="10" t="inlineStr">
        <is>
          <t>北市</t>
        </is>
      </c>
      <c r="L28" s="10" t="inlineStr">
        <is>
          <t>113/01/05</t>
        </is>
      </c>
      <c r="M28" s="10" t="inlineStr">
        <is>
          <t>4586</t>
        </is>
      </c>
      <c r="N28" s="10" t="inlineStr">
        <is>
          <t>2026-06-05</t>
        </is>
      </c>
      <c r="O28" s="11" t="inlineStr">
        <is>
          <t>https://www.roccpa.org.tw/member_search/more?id=B14EC97F-D414-4092-B045-FF107AA1A6F1</t>
        </is>
      </c>
    </row>
    <row r="29">
      <c r="A29" s="10" t="n">
        <v>28</v>
      </c>
      <c r="B29" s="11" t="inlineStr">
        <is>
          <t>安永聯合會計師事務所</t>
        </is>
      </c>
      <c r="C29" s="11" t="inlineStr">
        <is>
          <t>EY 安永</t>
        </is>
      </c>
      <c r="D29" s="11" t="inlineStr">
        <is>
          <t>王瑄瑄</t>
        </is>
      </c>
      <c r="E29" s="10" t="inlineStr">
        <is>
          <t>台北總所</t>
        </is>
      </c>
      <c r="F29" s="12" t="inlineStr">
        <is>
          <t>台北市信義區基隆路一段333號9樓</t>
        </is>
      </c>
      <c r="G29" s="12" t="inlineStr">
        <is>
          <t>台北市信義區基隆路一段333號9樓</t>
        </is>
      </c>
      <c r="H29" s="12" t="inlineStr"/>
      <c r="I29" s="10" t="inlineStr">
        <is>
          <t>105/08/17</t>
        </is>
      </c>
      <c r="J29" s="11" t="inlineStr">
        <is>
          <t>全聯會一字第1050361</t>
        </is>
      </c>
      <c r="K29" s="10" t="inlineStr">
        <is>
          <t>北市</t>
        </is>
      </c>
      <c r="L29" s="10" t="inlineStr">
        <is>
          <t>105/10/12</t>
        </is>
      </c>
      <c r="M29" s="10" t="inlineStr">
        <is>
          <t>3965</t>
        </is>
      </c>
      <c r="N29" s="10" t="inlineStr">
        <is>
          <t>2026-06-05</t>
        </is>
      </c>
      <c r="O29" s="11" t="inlineStr">
        <is>
          <t>https://www.roccpa.org.tw/member_search/more?id=DA4D0199-B910-4603-B86F-91699DC5BE2A</t>
        </is>
      </c>
    </row>
    <row r="30">
      <c r="A30" s="10" t="n">
        <v>29</v>
      </c>
      <c r="B30" s="11" t="inlineStr">
        <is>
          <t>安永聯合會計師事務所</t>
        </is>
      </c>
      <c r="C30" s="11" t="inlineStr">
        <is>
          <t>EY 安永</t>
        </is>
      </c>
      <c r="D30" s="11" t="inlineStr">
        <is>
          <t>王甯寬</t>
        </is>
      </c>
      <c r="E30" s="10" t="inlineStr">
        <is>
          <t>台北總所</t>
        </is>
      </c>
      <c r="F30" s="12" t="inlineStr">
        <is>
          <t>台北市信義區基隆路一段333號9樓</t>
        </is>
      </c>
      <c r="G30" s="12" t="inlineStr">
        <is>
          <t>台北市信義區基隆路一段333號9樓</t>
        </is>
      </c>
      <c r="H30" s="12" t="inlineStr"/>
      <c r="I30" s="10" t="inlineStr">
        <is>
          <t>114/07/01</t>
        </is>
      </c>
      <c r="J30" s="11" t="inlineStr">
        <is>
          <t>全聯會一字第1140000259號</t>
        </is>
      </c>
      <c r="K30" s="10" t="inlineStr">
        <is>
          <t>北市</t>
        </is>
      </c>
      <c r="L30" s="10" t="inlineStr">
        <is>
          <t>114/07/01</t>
        </is>
      </c>
      <c r="M30" s="10" t="inlineStr">
        <is>
          <t>4733</t>
        </is>
      </c>
      <c r="N30" s="10" t="inlineStr">
        <is>
          <t>2026-06-05</t>
        </is>
      </c>
      <c r="O30" s="11" t="inlineStr">
        <is>
          <t>https://www.roccpa.org.tw/member_search/more?id=27C067B7-7EBA-499B-89DC-48EA38B0C431</t>
        </is>
      </c>
    </row>
    <row r="31">
      <c r="A31" s="10" t="n">
        <v>30</v>
      </c>
      <c r="B31" s="11" t="inlineStr">
        <is>
          <t>安永聯合會計師事務所</t>
        </is>
      </c>
      <c r="C31" s="11" t="inlineStr">
        <is>
          <t>EY 安永</t>
        </is>
      </c>
      <c r="D31" s="11" t="inlineStr">
        <is>
          <t>葉柏良</t>
        </is>
      </c>
      <c r="E31" s="10" t="inlineStr">
        <is>
          <t>台北總所</t>
        </is>
      </c>
      <c r="F31" s="12" t="inlineStr">
        <is>
          <t>台北市信義區基隆路一段333號9樓</t>
        </is>
      </c>
      <c r="G31" s="12" t="inlineStr">
        <is>
          <t>台北市信義區基隆路一段333號9樓</t>
        </is>
      </c>
      <c r="H31" s="12" t="inlineStr"/>
      <c r="I31" s="10" t="inlineStr">
        <is>
          <t>113/07/15</t>
        </is>
      </c>
      <c r="J31" s="11" t="inlineStr">
        <is>
          <t>全聯會一字第1130000329號</t>
        </is>
      </c>
      <c r="K31" s="10" t="inlineStr">
        <is>
          <t>北市</t>
        </is>
      </c>
      <c r="L31" s="10" t="inlineStr">
        <is>
          <t>113/07/15</t>
        </is>
      </c>
      <c r="M31" s="10" t="inlineStr">
        <is>
          <t>4656</t>
        </is>
      </c>
      <c r="N31" s="10" t="inlineStr">
        <is>
          <t>2026-06-05</t>
        </is>
      </c>
      <c r="O31" s="11" t="inlineStr">
        <is>
          <t>https://www.roccpa.org.tw/member_search/more?id=7961944C-E8DF-48AF-A3AB-DC5DBECC7DF7</t>
        </is>
      </c>
    </row>
    <row r="32">
      <c r="A32" s="10" t="n">
        <v>31</v>
      </c>
      <c r="B32" s="11" t="inlineStr">
        <is>
          <t>安永聯合會計師事務所</t>
        </is>
      </c>
      <c r="C32" s="11" t="inlineStr">
        <is>
          <t>EY 安永</t>
        </is>
      </c>
      <c r="D32" s="11" t="inlineStr">
        <is>
          <t>蔡雅萍</t>
        </is>
      </c>
      <c r="E32" s="10" t="inlineStr">
        <is>
          <t>台北總所</t>
        </is>
      </c>
      <c r="F32" s="12" t="inlineStr">
        <is>
          <t>台北市信義區基隆路一段333號9樓</t>
        </is>
      </c>
      <c r="G32" s="12" t="inlineStr">
        <is>
          <t>台北市信義區基隆路一段333號9樓</t>
        </is>
      </c>
      <c r="H32" s="12" t="inlineStr"/>
      <c r="I32" s="10" t="inlineStr">
        <is>
          <t>103/05/16</t>
        </is>
      </c>
      <c r="J32" s="11" t="inlineStr">
        <is>
          <t>全聯會一字第1030199</t>
        </is>
      </c>
      <c r="K32" s="10" t="inlineStr">
        <is>
          <t>北市</t>
        </is>
      </c>
      <c r="L32" s="10" t="inlineStr">
        <is>
          <t>103/06/06</t>
        </is>
      </c>
      <c r="M32" s="10" t="inlineStr">
        <is>
          <t>3706</t>
        </is>
      </c>
      <c r="N32" s="10" t="inlineStr">
        <is>
          <t>2026-06-05</t>
        </is>
      </c>
      <c r="O32" s="11" t="inlineStr">
        <is>
          <t>https://www.roccpa.org.tw/member_search/more?id=00A112ED-121D-4894-A56C-E7CD88466C25</t>
        </is>
      </c>
    </row>
    <row r="33">
      <c r="A33" s="10" t="n">
        <v>32</v>
      </c>
      <c r="B33" s="11" t="inlineStr">
        <is>
          <t>安永聯合會計師事務所</t>
        </is>
      </c>
      <c r="C33" s="11" t="inlineStr">
        <is>
          <t>EY 安永</t>
        </is>
      </c>
      <c r="D33" s="11" t="inlineStr">
        <is>
          <t>許廷安</t>
        </is>
      </c>
      <c r="E33" s="10" t="inlineStr">
        <is>
          <t>台北總所</t>
        </is>
      </c>
      <c r="F33" s="12" t="inlineStr">
        <is>
          <t>台北市信義區基隆路一段333號9樓</t>
        </is>
      </c>
      <c r="G33" s="12" t="inlineStr">
        <is>
          <t>台北市信義區基隆路一段333號9樓</t>
        </is>
      </c>
      <c r="H33" s="12" t="inlineStr"/>
      <c r="I33" s="10" t="inlineStr">
        <is>
          <t>111/06/20</t>
        </is>
      </c>
      <c r="J33" s="11" t="inlineStr">
        <is>
          <t>全聯會一字第1110233</t>
        </is>
      </c>
      <c r="K33" s="10" t="inlineStr">
        <is>
          <t>北市</t>
        </is>
      </c>
      <c r="L33" s="10" t="inlineStr">
        <is>
          <t>111/06/20</t>
        </is>
      </c>
      <c r="M33" s="10" t="inlineStr">
        <is>
          <t>4440</t>
        </is>
      </c>
      <c r="N33" s="10" t="inlineStr">
        <is>
          <t>2026-06-05</t>
        </is>
      </c>
      <c r="O33" s="11" t="inlineStr">
        <is>
          <t>https://www.roccpa.org.tw/member_search/more?id=C75F0E87-8C11-48DA-8ECF-145C35BF54CD</t>
        </is>
      </c>
    </row>
    <row r="34">
      <c r="A34" s="10" t="n">
        <v>33</v>
      </c>
      <c r="B34" s="11" t="inlineStr">
        <is>
          <t>安永聯合會計師事務所</t>
        </is>
      </c>
      <c r="C34" s="11" t="inlineStr">
        <is>
          <t>EY 安永</t>
        </is>
      </c>
      <c r="D34" s="11" t="inlineStr">
        <is>
          <t>許新民</t>
        </is>
      </c>
      <c r="E34" s="10" t="inlineStr">
        <is>
          <t>台北總所</t>
        </is>
      </c>
      <c r="F34" s="12" t="inlineStr">
        <is>
          <t>台北市信義區基隆路一段333號9樓</t>
        </is>
      </c>
      <c r="G34" s="12" t="inlineStr">
        <is>
          <t>台北市信義區基隆路一段333號9樓</t>
        </is>
      </c>
      <c r="H34" s="12" t="inlineStr"/>
      <c r="I34" s="10" t="inlineStr"/>
      <c r="J34" s="11" t="inlineStr"/>
      <c r="K34" s="10" t="inlineStr">
        <is>
          <t>北市</t>
        </is>
      </c>
      <c r="L34" s="10" t="inlineStr">
        <is>
          <t>085/12/04</t>
        </is>
      </c>
      <c r="M34" s="10" t="inlineStr">
        <is>
          <t>1867</t>
        </is>
      </c>
      <c r="N34" s="10" t="inlineStr">
        <is>
          <t>2026-06-05</t>
        </is>
      </c>
      <c r="O34" s="11" t="inlineStr">
        <is>
          <t>https://www.roccpa.org.tw/member_search/more?id=9ABDFCED-FC8A-4354-BC64-E1A91D2E32A7</t>
        </is>
      </c>
    </row>
    <row r="35">
      <c r="A35" s="10" t="n">
        <v>34</v>
      </c>
      <c r="B35" s="11" t="inlineStr">
        <is>
          <t>安永聯合會計師事務所</t>
        </is>
      </c>
      <c r="C35" s="11" t="inlineStr">
        <is>
          <t>EY 安永</t>
        </is>
      </c>
      <c r="D35" s="11" t="inlineStr">
        <is>
          <t>謝勝安</t>
        </is>
      </c>
      <c r="E35" s="10" t="inlineStr">
        <is>
          <t>台北總所</t>
        </is>
      </c>
      <c r="F35" s="12" t="inlineStr">
        <is>
          <t>台北市信義區基隆路一段333號9樓</t>
        </is>
      </c>
      <c r="G35" s="12" t="inlineStr">
        <is>
          <t>台北市信義區基隆路一段333號9樓</t>
        </is>
      </c>
      <c r="H35" s="12" t="inlineStr"/>
      <c r="I35" s="10" t="inlineStr">
        <is>
          <t>105/08/17</t>
        </is>
      </c>
      <c r="J35" s="11" t="inlineStr">
        <is>
          <t>全聯會一字第1050362</t>
        </is>
      </c>
      <c r="K35" s="10" t="inlineStr">
        <is>
          <t>北市</t>
        </is>
      </c>
      <c r="L35" s="10" t="inlineStr">
        <is>
          <t>105/10/12</t>
        </is>
      </c>
      <c r="M35" s="10" t="inlineStr">
        <is>
          <t>3966</t>
        </is>
      </c>
      <c r="N35" s="10" t="inlineStr">
        <is>
          <t>2026-06-05</t>
        </is>
      </c>
      <c r="O35" s="11" t="inlineStr">
        <is>
          <t>https://www.roccpa.org.tw/member_search/more?id=875A59F4-8934-49B7-B88E-F70BC98545FD</t>
        </is>
      </c>
    </row>
    <row r="36">
      <c r="A36" s="10" t="n">
        <v>35</v>
      </c>
      <c r="B36" s="11" t="inlineStr">
        <is>
          <t>安永聯合會計師事務所</t>
        </is>
      </c>
      <c r="C36" s="11" t="inlineStr">
        <is>
          <t>EY 安永</t>
        </is>
      </c>
      <c r="D36" s="11" t="inlineStr">
        <is>
          <t>郭紹彬</t>
        </is>
      </c>
      <c r="E36" s="10" t="inlineStr">
        <is>
          <t>台北總所</t>
        </is>
      </c>
      <c r="F36" s="12" t="inlineStr">
        <is>
          <t>台北市信義區基隆路一段333號9樓</t>
        </is>
      </c>
      <c r="G36" s="12" t="inlineStr">
        <is>
          <t>台北市信義區基隆路一段333號9樓</t>
        </is>
      </c>
      <c r="H36" s="12" t="inlineStr"/>
      <c r="I36" s="10" t="inlineStr"/>
      <c r="J36" s="11" t="inlineStr"/>
      <c r="K36" s="10" t="inlineStr">
        <is>
          <t>北市</t>
        </is>
      </c>
      <c r="L36" s="10" t="inlineStr">
        <is>
          <t>091/10/01</t>
        </is>
      </c>
      <c r="M36" s="10" t="inlineStr">
        <is>
          <t>2489</t>
        </is>
      </c>
      <c r="N36" s="10" t="inlineStr">
        <is>
          <t>2026-06-05</t>
        </is>
      </c>
      <c r="O36" s="11" t="inlineStr">
        <is>
          <t>https://www.roccpa.org.tw/member_search/more?id=D2935B19-212E-48B8-93AA-144265180884</t>
        </is>
      </c>
    </row>
    <row r="37">
      <c r="A37" s="10" t="n">
        <v>36</v>
      </c>
      <c r="B37" s="11" t="inlineStr">
        <is>
          <t>安永聯合會計師事務所</t>
        </is>
      </c>
      <c r="C37" s="11" t="inlineStr">
        <is>
          <t>EY 安永</t>
        </is>
      </c>
      <c r="D37" s="11" t="inlineStr">
        <is>
          <t>陳人理</t>
        </is>
      </c>
      <c r="E37" s="10" t="inlineStr">
        <is>
          <t>台北總所</t>
        </is>
      </c>
      <c r="F37" s="12" t="inlineStr">
        <is>
          <t>台北市信義區基隆路一段333號9樓</t>
        </is>
      </c>
      <c r="G37" s="12" t="inlineStr">
        <is>
          <t>台北市信義區基隆路一段333號9樓</t>
        </is>
      </c>
      <c r="H37" s="12" t="inlineStr"/>
      <c r="I37" s="10" t="inlineStr">
        <is>
          <t>115/07/01</t>
        </is>
      </c>
      <c r="J37" s="11" t="inlineStr">
        <is>
          <t>全聯會一字第1150000318號</t>
        </is>
      </c>
      <c r="K37" s="10" t="inlineStr">
        <is>
          <t>北市</t>
        </is>
      </c>
      <c r="L37" s="10" t="inlineStr">
        <is>
          <t>115/07/01</t>
        </is>
      </c>
      <c r="M37" s="10" t="inlineStr">
        <is>
          <t>4909</t>
        </is>
      </c>
      <c r="N37" s="10" t="inlineStr">
        <is>
          <t>2026-07-06</t>
        </is>
      </c>
      <c r="O37" s="11" t="inlineStr">
        <is>
          <t>https://www.roccpa.org.tw/member_search/more?id=1b4536c62ba64e80b04d5ef31cf95423</t>
        </is>
      </c>
    </row>
    <row r="38">
      <c r="A38" s="10" t="n">
        <v>37</v>
      </c>
      <c r="B38" s="11" t="inlineStr">
        <is>
          <t>安永聯合會計師事務所</t>
        </is>
      </c>
      <c r="C38" s="11" t="inlineStr">
        <is>
          <t>EY 安永</t>
        </is>
      </c>
      <c r="D38" s="11" t="inlineStr">
        <is>
          <t>陳人理</t>
        </is>
      </c>
      <c r="E38" s="10" t="inlineStr">
        <is>
          <t>台北總所</t>
        </is>
      </c>
      <c r="F38" s="12" t="inlineStr">
        <is>
          <t>台北市信義區基隆路一段333號9樓</t>
        </is>
      </c>
      <c r="G38" s="12" t="inlineStr">
        <is>
          <t>台北市信義區基隆路一段333號9樓</t>
        </is>
      </c>
      <c r="H38" s="12" t="inlineStr"/>
      <c r="I38" s="10" t="inlineStr">
        <is>
          <t>115/07/01</t>
        </is>
      </c>
      <c r="J38" s="11" t="inlineStr">
        <is>
          <t>全聯會一字第1150000315號</t>
        </is>
      </c>
      <c r="K38" s="10" t="inlineStr">
        <is>
          <t>省</t>
        </is>
      </c>
      <c r="L38" s="10" t="inlineStr">
        <is>
          <t>115/07/01</t>
        </is>
      </c>
      <c r="M38" s="10" t="inlineStr">
        <is>
          <t>4906</t>
        </is>
      </c>
      <c r="N38" s="10" t="inlineStr">
        <is>
          <t>2026-07-06</t>
        </is>
      </c>
      <c r="O38" s="11" t="inlineStr">
        <is>
          <t>https://www.roccpa.org.tw/member_search/more?id=4ebbf9b486b24e9a86d5d974059b153c</t>
        </is>
      </c>
    </row>
    <row r="39">
      <c r="A39" s="10" t="n">
        <v>38</v>
      </c>
      <c r="B39" s="11" t="inlineStr">
        <is>
          <t>安永聯合會計師事務所</t>
        </is>
      </c>
      <c r="C39" s="11" t="inlineStr">
        <is>
          <t>EY 安永</t>
        </is>
      </c>
      <c r="D39" s="11" t="inlineStr">
        <is>
          <t>陳智忠</t>
        </is>
      </c>
      <c r="E39" s="10" t="inlineStr">
        <is>
          <t>台北總所</t>
        </is>
      </c>
      <c r="F39" s="12" t="inlineStr">
        <is>
          <t>台北市信義區基隆路一段333號9樓</t>
        </is>
      </c>
      <c r="G39" s="12" t="inlineStr">
        <is>
          <t>台北市信義區基隆路一段333號9樓</t>
        </is>
      </c>
      <c r="H39" s="12" t="inlineStr"/>
      <c r="I39" s="10" t="inlineStr">
        <is>
          <t>104/07/09</t>
        </is>
      </c>
      <c r="J39" s="11" t="inlineStr">
        <is>
          <t>全聯會一字第1040223</t>
        </is>
      </c>
      <c r="K39" s="10" t="inlineStr">
        <is>
          <t>北市</t>
        </is>
      </c>
      <c r="L39" s="10" t="inlineStr">
        <is>
          <t>104/07/23</t>
        </is>
      </c>
      <c r="M39" s="10" t="inlineStr">
        <is>
          <t>3849</t>
        </is>
      </c>
      <c r="N39" s="10" t="inlineStr">
        <is>
          <t>2026-06-05</t>
        </is>
      </c>
      <c r="O39" s="11" t="inlineStr">
        <is>
          <t>https://www.roccpa.org.tw/member_search/more?id=8CB6A26F-A861-46B3-ACE5-584197074C1F</t>
        </is>
      </c>
    </row>
    <row r="40">
      <c r="A40" s="10" t="n">
        <v>39</v>
      </c>
      <c r="B40" s="11" t="inlineStr">
        <is>
          <t>安永聯合會計師事務所</t>
        </is>
      </c>
      <c r="C40" s="11" t="inlineStr">
        <is>
          <t>EY 安永</t>
        </is>
      </c>
      <c r="D40" s="11" t="inlineStr">
        <is>
          <t>陳樺</t>
        </is>
      </c>
      <c r="E40" s="10" t="inlineStr">
        <is>
          <t>台北總所</t>
        </is>
      </c>
      <c r="F40" s="12" t="inlineStr">
        <is>
          <t>台北市信義區基隆路一段333號9樓</t>
        </is>
      </c>
      <c r="G40" s="12" t="inlineStr">
        <is>
          <t>台北市信義區基隆路一段333號9樓</t>
        </is>
      </c>
      <c r="H40" s="12" t="inlineStr"/>
      <c r="I40" s="10" t="inlineStr">
        <is>
          <t>115/07/01</t>
        </is>
      </c>
      <c r="J40" s="11" t="inlineStr">
        <is>
          <t>全聯會一字第1150000318號</t>
        </is>
      </c>
      <c r="K40" s="10" t="inlineStr">
        <is>
          <t>北市</t>
        </is>
      </c>
      <c r="L40" s="10" t="inlineStr">
        <is>
          <t>115/07/01</t>
        </is>
      </c>
      <c r="M40" s="10" t="inlineStr">
        <is>
          <t>4909</t>
        </is>
      </c>
      <c r="N40" s="10" t="inlineStr">
        <is>
          <t>2026-07-06</t>
        </is>
      </c>
      <c r="O40" s="11" t="inlineStr">
        <is>
          <t>https://www.roccpa.org.tw/member_search/more?id=5f1cfd9572f3432eb72c822f0dcf9cda</t>
        </is>
      </c>
    </row>
    <row r="41">
      <c r="A41" s="10" t="n">
        <v>40</v>
      </c>
      <c r="B41" s="11" t="inlineStr">
        <is>
          <t>安永聯合會計師事務所</t>
        </is>
      </c>
      <c r="C41" s="11" t="inlineStr">
        <is>
          <t>EY 安永</t>
        </is>
      </c>
      <c r="D41" s="11" t="inlineStr">
        <is>
          <t>陶旭珉</t>
        </is>
      </c>
      <c r="E41" s="10" t="inlineStr">
        <is>
          <t>台北總所</t>
        </is>
      </c>
      <c r="F41" s="12" t="inlineStr">
        <is>
          <t>台北市信義區基隆路一段333號9樓</t>
        </is>
      </c>
      <c r="G41" s="12" t="inlineStr">
        <is>
          <t>台北市信義區基隆路一段333號9樓</t>
        </is>
      </c>
      <c r="H41" s="12" t="inlineStr"/>
      <c r="I41" s="10" t="inlineStr">
        <is>
          <t>115/07/01</t>
        </is>
      </c>
      <c r="J41" s="11" t="inlineStr">
        <is>
          <t>全聯會一字第1150000319號</t>
        </is>
      </c>
      <c r="K41" s="10" t="inlineStr">
        <is>
          <t>北市</t>
        </is>
      </c>
      <c r="L41" s="10" t="inlineStr">
        <is>
          <t>115/07/01</t>
        </is>
      </c>
      <c r="M41" s="10" t="inlineStr">
        <is>
          <t>4910</t>
        </is>
      </c>
      <c r="N41" s="10" t="inlineStr">
        <is>
          <t>2026-07-06</t>
        </is>
      </c>
      <c r="O41" s="11" t="inlineStr">
        <is>
          <t>https://www.roccpa.org.tw/member_search/more?id=682cc17985154894b2ef783269a1acc3</t>
        </is>
      </c>
    </row>
    <row r="42">
      <c r="A42" s="10" t="n">
        <v>41</v>
      </c>
      <c r="B42" s="11" t="inlineStr">
        <is>
          <t>安永聯合會計師事務所</t>
        </is>
      </c>
      <c r="C42" s="11" t="inlineStr">
        <is>
          <t>EY 安永</t>
        </is>
      </c>
      <c r="D42" s="11" t="inlineStr">
        <is>
          <t>馬君廷</t>
        </is>
      </c>
      <c r="E42" s="10" t="inlineStr">
        <is>
          <t>台北總所</t>
        </is>
      </c>
      <c r="F42" s="12" t="inlineStr">
        <is>
          <t>台北市信義區基隆路一段333號9樓</t>
        </is>
      </c>
      <c r="G42" s="12" t="inlineStr">
        <is>
          <t>台北市信義區基隆路一段333號9樓</t>
        </is>
      </c>
      <c r="H42" s="12" t="inlineStr"/>
      <c r="I42" s="10" t="inlineStr">
        <is>
          <t>106/06/20</t>
        </is>
      </c>
      <c r="J42" s="11" t="inlineStr">
        <is>
          <t>全聯會一字第1060220</t>
        </is>
      </c>
      <c r="K42" s="10" t="inlineStr">
        <is>
          <t>北市</t>
        </is>
      </c>
      <c r="L42" s="10" t="inlineStr">
        <is>
          <t>106/07/06</t>
        </is>
      </c>
      <c r="M42" s="10" t="inlineStr">
        <is>
          <t>4025</t>
        </is>
      </c>
      <c r="N42" s="10" t="inlineStr">
        <is>
          <t>2026-06-05</t>
        </is>
      </c>
      <c r="O42" s="11" t="inlineStr">
        <is>
          <t>https://www.roccpa.org.tw/member_search/more?id=BC299E2F-CB9E-4087-BEB4-0582A19A811F</t>
        </is>
      </c>
    </row>
    <row r="43">
      <c r="A43" s="10" t="n">
        <v>42</v>
      </c>
      <c r="B43" s="11" t="inlineStr">
        <is>
          <t>安永聯合會計師事務所</t>
        </is>
      </c>
      <c r="C43" s="11" t="inlineStr">
        <is>
          <t>EY 安永</t>
        </is>
      </c>
      <c r="D43" s="11" t="inlineStr">
        <is>
          <t>馮葦祺</t>
        </is>
      </c>
      <c r="E43" s="10" t="inlineStr">
        <is>
          <t>台北總所</t>
        </is>
      </c>
      <c r="F43" s="12" t="inlineStr">
        <is>
          <t>台北市信義區基隆路一段333號9樓</t>
        </is>
      </c>
      <c r="G43" s="12" t="inlineStr">
        <is>
          <t>台北市信義區基隆路一段333號9樓</t>
        </is>
      </c>
      <c r="H43" s="12" t="inlineStr"/>
      <c r="I43" s="10" t="inlineStr">
        <is>
          <t>115/07/01</t>
        </is>
      </c>
      <c r="J43" s="11" t="inlineStr">
        <is>
          <t>全聯會一字第1150000316號</t>
        </is>
      </c>
      <c r="K43" s="10" t="inlineStr">
        <is>
          <t>北市</t>
        </is>
      </c>
      <c r="L43" s="10" t="inlineStr">
        <is>
          <t>115/07/01</t>
        </is>
      </c>
      <c r="M43" s="10" t="inlineStr">
        <is>
          <t>4907</t>
        </is>
      </c>
      <c r="N43" s="10" t="inlineStr">
        <is>
          <t>2026-07-06</t>
        </is>
      </c>
      <c r="O43" s="11" t="inlineStr">
        <is>
          <t>https://www.roccpa.org.tw/member_search/more?id=43add1c0f10e41bfa0689a77c6530368</t>
        </is>
      </c>
    </row>
    <row r="44">
      <c r="A44" s="10" t="n">
        <v>43</v>
      </c>
      <c r="B44" s="11" t="inlineStr">
        <is>
          <t>安永聯合會計師事務所</t>
        </is>
      </c>
      <c r="C44" s="11" t="inlineStr">
        <is>
          <t>EY 安永</t>
        </is>
      </c>
      <c r="D44" s="11" t="inlineStr">
        <is>
          <t>黃建澤</t>
        </is>
      </c>
      <c r="E44" s="10" t="inlineStr">
        <is>
          <t>台北總所</t>
        </is>
      </c>
      <c r="F44" s="12" t="inlineStr">
        <is>
          <t>台北市信義區基隆路一段333號9樓</t>
        </is>
      </c>
      <c r="G44" s="12" t="inlineStr">
        <is>
          <t>台北市信義區基隆路一段333號9樓</t>
        </is>
      </c>
      <c r="H44" s="12" t="inlineStr"/>
      <c r="I44" s="10" t="inlineStr"/>
      <c r="J44" s="11" t="inlineStr"/>
      <c r="K44" s="10" t="inlineStr">
        <is>
          <t>北市</t>
        </is>
      </c>
      <c r="L44" s="10" t="inlineStr">
        <is>
          <t>096/04/09</t>
        </is>
      </c>
      <c r="M44" s="10" t="inlineStr">
        <is>
          <t>2922</t>
        </is>
      </c>
      <c r="N44" s="10" t="inlineStr">
        <is>
          <t>2026-06-05</t>
        </is>
      </c>
      <c r="O44" s="11" t="inlineStr">
        <is>
          <t>https://www.roccpa.org.tw/member_search/more?id=D452B1C3-976B-4311-8D60-13ED3B926FB9</t>
        </is>
      </c>
    </row>
    <row r="45">
      <c r="A45" s="10" t="n">
        <v>44</v>
      </c>
      <c r="B45" s="11" t="inlineStr">
        <is>
          <t>安永聯合會計師事務所</t>
        </is>
      </c>
      <c r="C45" s="11" t="inlineStr">
        <is>
          <t>EY 安永</t>
        </is>
      </c>
      <c r="D45" s="11" t="inlineStr">
        <is>
          <t>林政緯</t>
        </is>
      </c>
      <c r="E45" s="10" t="inlineStr">
        <is>
          <t>桃園分所</t>
        </is>
      </c>
      <c r="F45" s="12" t="inlineStr">
        <is>
          <t>桃園市桃園區中正路1088號27樓</t>
        </is>
      </c>
      <c r="G45" s="12" t="inlineStr">
        <is>
          <t>台北市信義區基隆路一段333號9樓</t>
        </is>
      </c>
      <c r="H45" s="12" t="inlineStr">
        <is>
          <t>桃園市桃園區中正路1088號27樓</t>
        </is>
      </c>
      <c r="I45" s="10" t="inlineStr">
        <is>
          <t>111/06/20</t>
        </is>
      </c>
      <c r="J45" s="11" t="inlineStr">
        <is>
          <t>全聯會一字第1110231</t>
        </is>
      </c>
      <c r="K45" s="10" t="inlineStr">
        <is>
          <t>省</t>
        </is>
      </c>
      <c r="L45" s="10" t="inlineStr">
        <is>
          <t>111/06/20</t>
        </is>
      </c>
      <c r="M45" s="10" t="inlineStr">
        <is>
          <t>4888</t>
        </is>
      </c>
      <c r="N45" s="10" t="inlineStr">
        <is>
          <t>2026-06-05</t>
        </is>
      </c>
      <c r="O45" s="11" t="inlineStr">
        <is>
          <t>https://www.roccpa.org.tw/member_search/more?id=652C34E2-1D04-4452-AC5D-0931AEEAE167</t>
        </is>
      </c>
    </row>
    <row r="46">
      <c r="A46" s="10" t="n">
        <v>45</v>
      </c>
      <c r="B46" s="11" t="inlineStr">
        <is>
          <t>安永聯合會計師事務所</t>
        </is>
      </c>
      <c r="C46" s="11" t="inlineStr">
        <is>
          <t>EY 安永</t>
        </is>
      </c>
      <c r="D46" s="11" t="inlineStr">
        <is>
          <t>羅筱靖</t>
        </is>
      </c>
      <c r="E46" s="10" t="inlineStr">
        <is>
          <t>桃園分所</t>
        </is>
      </c>
      <c r="F46" s="12" t="inlineStr">
        <is>
          <t>桃園市桃園區中正路1088號27樓</t>
        </is>
      </c>
      <c r="G46" s="12" t="inlineStr">
        <is>
          <t>台北市信義區基隆路一段333號9樓</t>
        </is>
      </c>
      <c r="H46" s="12" t="inlineStr">
        <is>
          <t>桃園市桃園區中正路1088號27樓</t>
        </is>
      </c>
      <c r="I46" s="10" t="inlineStr">
        <is>
          <t>106/06/20</t>
        </is>
      </c>
      <c r="J46" s="11" t="inlineStr">
        <is>
          <t>全聯會一字第1060221</t>
        </is>
      </c>
      <c r="K46" s="10" t="inlineStr">
        <is>
          <t>省</t>
        </is>
      </c>
      <c r="L46" s="10" t="inlineStr">
        <is>
          <t>106/06/28</t>
        </is>
      </c>
      <c r="M46" s="10" t="inlineStr">
        <is>
          <t>4580</t>
        </is>
      </c>
      <c r="N46" s="10" t="inlineStr">
        <is>
          <t>2026-06-05</t>
        </is>
      </c>
      <c r="O46" s="11" t="inlineStr">
        <is>
          <t>https://www.roccpa.org.tw/member_search/more?id=D2AD7395-08C3-4977-A44E-DE494274810F</t>
        </is>
      </c>
    </row>
    <row r="47">
      <c r="A47" s="10" t="n">
        <v>46</v>
      </c>
      <c r="B47" s="11" t="inlineStr">
        <is>
          <t>安永聯合會計師事務所</t>
        </is>
      </c>
      <c r="C47" s="11" t="inlineStr">
        <is>
          <t>EY 安永</t>
        </is>
      </c>
      <c r="D47" s="11" t="inlineStr">
        <is>
          <t>鄭清標</t>
        </is>
      </c>
      <c r="E47" s="10" t="inlineStr">
        <is>
          <t>桃園分所</t>
        </is>
      </c>
      <c r="F47" s="12" t="inlineStr">
        <is>
          <t>桃園市桃園區中正路1088號27樓</t>
        </is>
      </c>
      <c r="G47" s="12" t="inlineStr">
        <is>
          <t>台北市信義區基隆路一段333號9樓</t>
        </is>
      </c>
      <c r="H47" s="12" t="inlineStr">
        <is>
          <t>桃園市桃園區中正路1088號27樓</t>
        </is>
      </c>
      <c r="I47" s="10" t="inlineStr">
        <is>
          <t>103/05/16</t>
        </is>
      </c>
      <c r="J47" s="11" t="inlineStr">
        <is>
          <t>全聯會一字第1030200</t>
        </is>
      </c>
      <c r="K47" s="10" t="inlineStr">
        <is>
          <t>省</t>
        </is>
      </c>
      <c r="L47" s="10" t="inlineStr">
        <is>
          <t>103/06/03</t>
        </is>
      </c>
      <c r="M47" s="10" t="inlineStr">
        <is>
          <t>4242</t>
        </is>
      </c>
      <c r="N47" s="10" t="inlineStr">
        <is>
          <t>2026-06-05</t>
        </is>
      </c>
      <c r="O47" s="11" t="inlineStr">
        <is>
          <t>https://www.roccpa.org.tw/member_search/more?id=A211FD05-DF8D-4F21-93FC-15C45F3FA782</t>
        </is>
      </c>
    </row>
    <row r="48">
      <c r="A48" s="10" t="n">
        <v>47</v>
      </c>
      <c r="B48" s="11" t="inlineStr">
        <is>
          <t>安永聯合會計師事務所</t>
        </is>
      </c>
      <c r="C48" s="11" t="inlineStr">
        <is>
          <t>EY 安永</t>
        </is>
      </c>
      <c r="D48" s="11" t="inlineStr">
        <is>
          <t>陳國帥</t>
        </is>
      </c>
      <c r="E48" s="10" t="inlineStr">
        <is>
          <t>桃園分所</t>
        </is>
      </c>
      <c r="F48" s="12" t="inlineStr">
        <is>
          <t>桃園市桃園區中正路1088號27樓</t>
        </is>
      </c>
      <c r="G48" s="12" t="inlineStr">
        <is>
          <t>台北市信義區基隆路一段333號9樓</t>
        </is>
      </c>
      <c r="H48" s="12" t="inlineStr">
        <is>
          <t>桃園市桃園區中正路1088號27樓</t>
        </is>
      </c>
      <c r="I48" s="10" t="inlineStr">
        <is>
          <t>110/06/25</t>
        </is>
      </c>
      <c r="J48" s="11" t="inlineStr">
        <is>
          <t>全聯會一字第1100260</t>
        </is>
      </c>
      <c r="K48" s="10" t="inlineStr">
        <is>
          <t>省</t>
        </is>
      </c>
      <c r="L48" s="10" t="inlineStr">
        <is>
          <t>110/06/25</t>
        </is>
      </c>
      <c r="M48" s="10" t="inlineStr">
        <is>
          <t>4814</t>
        </is>
      </c>
      <c r="N48" s="10" t="inlineStr">
        <is>
          <t>2026-06-05</t>
        </is>
      </c>
      <c r="O48" s="11" t="inlineStr">
        <is>
          <t>https://www.roccpa.org.tw/member_search/more?id=E30E7C71-4AF7-44E1-87A8-76269F3A8056</t>
        </is>
      </c>
    </row>
    <row r="49">
      <c r="A49" s="10" t="n">
        <v>48</v>
      </c>
      <c r="B49" s="11" t="inlineStr">
        <is>
          <t>安永聯合會計師事務所</t>
        </is>
      </c>
      <c r="C49" s="11" t="inlineStr">
        <is>
          <t>EY 安永</t>
        </is>
      </c>
      <c r="D49" s="11" t="inlineStr">
        <is>
          <t>林楷</t>
        </is>
      </c>
      <c r="E49" s="10" t="inlineStr">
        <is>
          <t>新竹分所</t>
        </is>
      </c>
      <c r="F49" s="12" t="inlineStr">
        <is>
          <t>新竹市科學工業園區新竹市力行一路1號E-3</t>
        </is>
      </c>
      <c r="G49" s="12" t="inlineStr">
        <is>
          <t>台北市信義區基隆路一段333號9樓</t>
        </is>
      </c>
      <c r="H49" s="12" t="inlineStr">
        <is>
          <t>新竹市科學工業園區新竹市力行一路1號E-3</t>
        </is>
      </c>
      <c r="I49" s="10" t="inlineStr">
        <is>
          <t>114/07/01</t>
        </is>
      </c>
      <c r="J49" s="11" t="inlineStr">
        <is>
          <t>全聯會一字第1140000258號</t>
        </is>
      </c>
      <c r="K49" s="10" t="inlineStr">
        <is>
          <t>省</t>
        </is>
      </c>
      <c r="L49" s="10" t="inlineStr">
        <is>
          <t>114/07/01</t>
        </is>
      </c>
      <c r="M49" s="10" t="inlineStr">
        <is>
          <t>5136</t>
        </is>
      </c>
      <c r="N49" s="10" t="inlineStr">
        <is>
          <t>2026-06-05</t>
        </is>
      </c>
      <c r="O49" s="11" t="inlineStr">
        <is>
          <t>https://www.roccpa.org.tw/member_search/more?id=81E13053-1C89-44B8-9522-5461C0A2E72C</t>
        </is>
      </c>
    </row>
    <row r="50">
      <c r="A50" s="10" t="n">
        <v>49</v>
      </c>
      <c r="B50" s="11" t="inlineStr">
        <is>
          <t>安永聯合會計師事務所</t>
        </is>
      </c>
      <c r="C50" s="11" t="inlineStr">
        <is>
          <t>EY 安永</t>
        </is>
      </c>
      <c r="D50" s="11" t="inlineStr">
        <is>
          <t>楊雨霓</t>
        </is>
      </c>
      <c r="E50" s="10" t="inlineStr">
        <is>
          <t>新竹分所</t>
        </is>
      </c>
      <c r="F50" s="12" t="inlineStr">
        <is>
          <t>新竹市科學工業園區新竹市力行一路1號E-3</t>
        </is>
      </c>
      <c r="G50" s="12" t="inlineStr">
        <is>
          <t>台北市信義區基隆路一段333號9樓</t>
        </is>
      </c>
      <c r="H50" s="12" t="inlineStr">
        <is>
          <t>新竹市科學工業園區新竹市力行一路1號E-3</t>
        </is>
      </c>
      <c r="I50" s="10" t="inlineStr">
        <is>
          <t>109/10/13</t>
        </is>
      </c>
      <c r="J50" s="11" t="inlineStr">
        <is>
          <t>全聯會一字第1090403</t>
        </is>
      </c>
      <c r="K50" s="10" t="inlineStr">
        <is>
          <t>省</t>
        </is>
      </c>
      <c r="L50" s="10" t="inlineStr">
        <is>
          <t>109/10/13</t>
        </is>
      </c>
      <c r="M50" s="10" t="inlineStr">
        <is>
          <t>4768</t>
        </is>
      </c>
      <c r="N50" s="10" t="inlineStr">
        <is>
          <t>2026-06-05</t>
        </is>
      </c>
      <c r="O50" s="11" t="inlineStr">
        <is>
          <t>https://www.roccpa.org.tw/member_search/more?id=9226AAFD-C744-4881-95F7-944B90EBB756</t>
        </is>
      </c>
    </row>
    <row r="51">
      <c r="A51" s="10" t="n">
        <v>50</v>
      </c>
      <c r="B51" s="11" t="inlineStr">
        <is>
          <t>安永聯合會計師事務所</t>
        </is>
      </c>
      <c r="C51" s="11" t="inlineStr">
        <is>
          <t>EY 安永</t>
        </is>
      </c>
      <c r="D51" s="11" t="inlineStr">
        <is>
          <t>胡慎緁</t>
        </is>
      </c>
      <c r="E51" s="10" t="inlineStr">
        <is>
          <t>新竹分所</t>
        </is>
      </c>
      <c r="F51" s="12" t="inlineStr">
        <is>
          <t>新竹市科學工業園區新竹市力行一路1號E-3</t>
        </is>
      </c>
      <c r="G51" s="12" t="inlineStr">
        <is>
          <t>台北市信義區基隆路一段333號9樓</t>
        </is>
      </c>
      <c r="H51" s="12" t="inlineStr">
        <is>
          <t>新竹市科學工業園區新竹市力行一路1號E-3</t>
        </is>
      </c>
      <c r="I51" s="10" t="inlineStr">
        <is>
          <t>111/06/20</t>
        </is>
      </c>
      <c r="J51" s="11" t="inlineStr">
        <is>
          <t>全聯會一字第1110232</t>
        </is>
      </c>
      <c r="K51" s="10" t="inlineStr">
        <is>
          <t>省</t>
        </is>
      </c>
      <c r="L51" s="10" t="inlineStr">
        <is>
          <t>111/06/20</t>
        </is>
      </c>
      <c r="M51" s="10" t="inlineStr">
        <is>
          <t>4889</t>
        </is>
      </c>
      <c r="N51" s="10" t="inlineStr">
        <is>
          <t>2026-06-05</t>
        </is>
      </c>
      <c r="O51" s="11" t="inlineStr">
        <is>
          <t>https://www.roccpa.org.tw/member_search/more?id=195D9517-B98A-49CB-BEB0-0EAAD70AFEE6</t>
        </is>
      </c>
    </row>
    <row r="52">
      <c r="A52" s="10" t="n">
        <v>51</v>
      </c>
      <c r="B52" s="11" t="inlineStr">
        <is>
          <t>安永聯合會計師事務所</t>
        </is>
      </c>
      <c r="C52" s="11" t="inlineStr">
        <is>
          <t>EY 安永</t>
        </is>
      </c>
      <c r="D52" s="11" t="inlineStr">
        <is>
          <t>邱琬茹</t>
        </is>
      </c>
      <c r="E52" s="10" t="inlineStr">
        <is>
          <t>新竹分所</t>
        </is>
      </c>
      <c r="F52" s="12" t="inlineStr">
        <is>
          <t>新竹市科學工業園區新竹市力行一路1號E-3</t>
        </is>
      </c>
      <c r="G52" s="12" t="inlineStr">
        <is>
          <t>台北市信義區基隆路一段333號9樓</t>
        </is>
      </c>
      <c r="H52" s="12" t="inlineStr">
        <is>
          <t>新竹市科學工業園區新竹市力行一路1號E-3</t>
        </is>
      </c>
      <c r="I52" s="10" t="inlineStr">
        <is>
          <t>104/07/09</t>
        </is>
      </c>
      <c r="J52" s="11" t="inlineStr">
        <is>
          <t>全聯會一字第1040222</t>
        </is>
      </c>
      <c r="K52" s="10" t="inlineStr">
        <is>
          <t>省</t>
        </is>
      </c>
      <c r="L52" s="10" t="inlineStr">
        <is>
          <t>104/07/23</t>
        </is>
      </c>
      <c r="M52" s="10" t="inlineStr">
        <is>
          <t>4402</t>
        </is>
      </c>
      <c r="N52" s="10" t="inlineStr">
        <is>
          <t>2026-06-05</t>
        </is>
      </c>
      <c r="O52" s="11" t="inlineStr">
        <is>
          <t>https://www.roccpa.org.tw/member_search/more?id=329E5636-718B-4F6E-AFDF-14AA2F891EFA</t>
        </is>
      </c>
    </row>
    <row r="53">
      <c r="A53" s="10" t="n">
        <v>52</v>
      </c>
      <c r="B53" s="11" t="inlineStr">
        <is>
          <t>安永聯合會計師事務所</t>
        </is>
      </c>
      <c r="C53" s="11" t="inlineStr">
        <is>
          <t>EY 安永</t>
        </is>
      </c>
      <c r="D53" s="11" t="inlineStr">
        <is>
          <t>黃敏如</t>
        </is>
      </c>
      <c r="E53" s="10" t="inlineStr">
        <is>
          <t>新竹分所</t>
        </is>
      </c>
      <c r="F53" s="12" t="inlineStr">
        <is>
          <t>新竹市科學工業園區新竹市力行一路1號E-3</t>
        </is>
      </c>
      <c r="G53" s="12" t="inlineStr">
        <is>
          <t>台北市信義區基隆路一段333號9樓</t>
        </is>
      </c>
      <c r="H53" s="12" t="inlineStr">
        <is>
          <t>新竹市科學工業園區新竹市力行一路1號E-3</t>
        </is>
      </c>
      <c r="I53" s="10" t="inlineStr">
        <is>
          <t>112/06/29</t>
        </is>
      </c>
      <c r="J53" s="11" t="inlineStr">
        <is>
          <t>全聯會一字第1120255</t>
        </is>
      </c>
      <c r="K53" s="10" t="inlineStr">
        <is>
          <t>省</t>
        </is>
      </c>
      <c r="L53" s="10" t="inlineStr">
        <is>
          <t>112/06/29</t>
        </is>
      </c>
      <c r="M53" s="10" t="inlineStr">
        <is>
          <t>4982</t>
        </is>
      </c>
      <c r="N53" s="10" t="inlineStr">
        <is>
          <t>2026-06-05</t>
        </is>
      </c>
      <c r="O53" s="11" t="inlineStr">
        <is>
          <t>https://www.roccpa.org.tw/member_search/more?id=7F88B59C-D293-4DEB-91B3-AA28D1BC0CCB</t>
        </is>
      </c>
    </row>
    <row r="54">
      <c r="A54" s="10" t="n">
        <v>53</v>
      </c>
      <c r="B54" s="11" t="inlineStr">
        <is>
          <t>安永聯合會計師事務所</t>
        </is>
      </c>
      <c r="C54" s="11" t="inlineStr">
        <is>
          <t>EY 安永</t>
        </is>
      </c>
      <c r="D54" s="11" t="inlineStr">
        <is>
          <t>柯雅婷</t>
        </is>
      </c>
      <c r="E54" s="10" t="inlineStr">
        <is>
          <t>台中分所</t>
        </is>
      </c>
      <c r="F54" s="12" t="inlineStr">
        <is>
          <t>台中市西屯區市政北七路186號26樓</t>
        </is>
      </c>
      <c r="G54" s="12" t="inlineStr">
        <is>
          <t>台北市信義區基隆路一段333號9樓</t>
        </is>
      </c>
      <c r="H54" s="12" t="inlineStr">
        <is>
          <t>台中市西屯區市政北七路186號26樓</t>
        </is>
      </c>
      <c r="I54" s="10" t="inlineStr">
        <is>
          <t>114/07/01</t>
        </is>
      </c>
      <c r="J54" s="11" t="inlineStr">
        <is>
          <t>全聯會一字第1140000262號</t>
        </is>
      </c>
      <c r="K54" s="10" t="inlineStr">
        <is>
          <t>中市</t>
        </is>
      </c>
      <c r="L54" s="10" t="inlineStr">
        <is>
          <t>114/07/01</t>
        </is>
      </c>
      <c r="M54" s="10" t="inlineStr">
        <is>
          <t>1148</t>
        </is>
      </c>
      <c r="N54" s="10" t="inlineStr">
        <is>
          <t>2026-06-05</t>
        </is>
      </c>
      <c r="O54" s="11" t="inlineStr">
        <is>
          <t>https://www.roccpa.org.tw/member_search/more?id=419B9E59-D184-4673-8BFF-F9FE261B07C6</t>
        </is>
      </c>
    </row>
    <row r="55">
      <c r="A55" s="10" t="n">
        <v>54</v>
      </c>
      <c r="B55" s="11" t="inlineStr">
        <is>
          <t>安永聯合會計師事務所</t>
        </is>
      </c>
      <c r="C55" s="11" t="inlineStr">
        <is>
          <t>EY 安永</t>
        </is>
      </c>
      <c r="D55" s="11" t="inlineStr">
        <is>
          <t>羅文振</t>
        </is>
      </c>
      <c r="E55" s="10" t="inlineStr">
        <is>
          <t>台中分所</t>
        </is>
      </c>
      <c r="F55" s="12" t="inlineStr">
        <is>
          <t>台中市西屯區市政北七路186號26樓</t>
        </is>
      </c>
      <c r="G55" s="12" t="inlineStr">
        <is>
          <t>台北市信義區基隆路一段333號9樓</t>
        </is>
      </c>
      <c r="H55" s="12" t="inlineStr">
        <is>
          <t>台中市西屯區市政北七路186號26樓</t>
        </is>
      </c>
      <c r="I55" s="10" t="inlineStr">
        <is>
          <t>111/06/20</t>
        </is>
      </c>
      <c r="J55" s="11" t="inlineStr">
        <is>
          <t>全聯會一字第1110237</t>
        </is>
      </c>
      <c r="K55" s="10" t="inlineStr">
        <is>
          <t>中市</t>
        </is>
      </c>
      <c r="L55" s="10" t="inlineStr">
        <is>
          <t>111/6/20</t>
        </is>
      </c>
      <c r="M55" s="10" t="inlineStr">
        <is>
          <t>1058</t>
        </is>
      </c>
      <c r="N55" s="10" t="inlineStr">
        <is>
          <t>2026-06-05</t>
        </is>
      </c>
      <c r="O55" s="11" t="inlineStr">
        <is>
          <t>https://www.roccpa.org.tw/member_search/more?id=F8AFB11A-E868-4AB0-8310-1AAF67A0CE31</t>
        </is>
      </c>
    </row>
    <row r="56">
      <c r="A56" s="10" t="n">
        <v>55</v>
      </c>
      <c r="B56" s="11" t="inlineStr">
        <is>
          <t>安永聯合會計師事務所</t>
        </is>
      </c>
      <c r="C56" s="11" t="inlineStr">
        <is>
          <t>EY 安永</t>
        </is>
      </c>
      <c r="D56" s="11" t="inlineStr">
        <is>
          <t>賴書晨</t>
        </is>
      </c>
      <c r="E56" s="10" t="inlineStr">
        <is>
          <t>台中分所</t>
        </is>
      </c>
      <c r="F56" s="12" t="inlineStr">
        <is>
          <t>台中市西屯區市政北七路186號26樓</t>
        </is>
      </c>
      <c r="G56" s="12" t="inlineStr">
        <is>
          <t>台北市信義區基隆路一段333號9樓</t>
        </is>
      </c>
      <c r="H56" s="12" t="inlineStr">
        <is>
          <t>台中市西屯區市政北七路186號26樓</t>
        </is>
      </c>
      <c r="I56" s="10" t="inlineStr">
        <is>
          <t>114/07/01</t>
        </is>
      </c>
      <c r="J56" s="11" t="inlineStr">
        <is>
          <t>全聯會一字第1140000263號</t>
        </is>
      </c>
      <c r="K56" s="10" t="inlineStr">
        <is>
          <t>中市</t>
        </is>
      </c>
      <c r="L56" s="10" t="inlineStr">
        <is>
          <t>114/07/01</t>
        </is>
      </c>
      <c r="M56" s="10" t="inlineStr">
        <is>
          <t>1149</t>
        </is>
      </c>
      <c r="N56" s="10" t="inlineStr">
        <is>
          <t>2026-06-05</t>
        </is>
      </c>
      <c r="O56" s="11" t="inlineStr">
        <is>
          <t>https://www.roccpa.org.tw/member_search/more?id=0B57C455-1A61-42C1-A23C-7F109200E3DB</t>
        </is>
      </c>
    </row>
    <row r="57">
      <c r="A57" s="10" t="n">
        <v>56</v>
      </c>
      <c r="B57" s="11" t="inlineStr">
        <is>
          <t>安永聯合會計師事務所</t>
        </is>
      </c>
      <c r="C57" s="11" t="inlineStr">
        <is>
          <t>EY 安永</t>
        </is>
      </c>
      <c r="D57" s="11" t="inlineStr">
        <is>
          <t>陳明宏</t>
        </is>
      </c>
      <c r="E57" s="10" t="inlineStr">
        <is>
          <t>台中分所</t>
        </is>
      </c>
      <c r="F57" s="12" t="inlineStr">
        <is>
          <t>台中市西屯區市政北七路186號26樓</t>
        </is>
      </c>
      <c r="G57" s="12" t="inlineStr">
        <is>
          <t>台北市信義區基隆路一段333號9樓</t>
        </is>
      </c>
      <c r="H57" s="12" t="inlineStr">
        <is>
          <t>台中市西屯區市政北七路186號26樓</t>
        </is>
      </c>
      <c r="I57" s="10" t="inlineStr">
        <is>
          <t>106/06/20</t>
        </is>
      </c>
      <c r="J57" s="11" t="inlineStr">
        <is>
          <t>全聯會一字第1060218</t>
        </is>
      </c>
      <c r="K57" s="10" t="inlineStr">
        <is>
          <t>中市</t>
        </is>
      </c>
      <c r="L57" s="10" t="inlineStr">
        <is>
          <t>106/07/03</t>
        </is>
      </c>
      <c r="M57" s="10" t="inlineStr">
        <is>
          <t>935</t>
        </is>
      </c>
      <c r="N57" s="10" t="inlineStr">
        <is>
          <t>2026-06-05</t>
        </is>
      </c>
      <c r="O57" s="11" t="inlineStr">
        <is>
          <t>https://www.roccpa.org.tw/member_search/more?id=D81488A6-2D5C-47DE-AAFD-00F8957755F9</t>
        </is>
      </c>
    </row>
    <row r="58">
      <c r="A58" s="10" t="n">
        <v>57</v>
      </c>
      <c r="B58" s="11" t="inlineStr">
        <is>
          <t>安永聯合會計師事務所</t>
        </is>
      </c>
      <c r="C58" s="11" t="inlineStr">
        <is>
          <t>EY 安永</t>
        </is>
      </c>
      <c r="D58" s="11" t="inlineStr">
        <is>
          <t>黃子評</t>
        </is>
      </c>
      <c r="E58" s="10" t="inlineStr">
        <is>
          <t>台中分所</t>
        </is>
      </c>
      <c r="F58" s="12" t="inlineStr">
        <is>
          <t>台中市西屯區市政北七路186號26樓</t>
        </is>
      </c>
      <c r="G58" s="12" t="inlineStr">
        <is>
          <t>台北市信義區基隆路一段333號9樓</t>
        </is>
      </c>
      <c r="H58" s="12" t="inlineStr">
        <is>
          <t>台中市西屯區市政北七路186號26樓</t>
        </is>
      </c>
      <c r="I58" s="10" t="inlineStr">
        <is>
          <t>103/05/16</t>
        </is>
      </c>
      <c r="J58" s="11" t="inlineStr">
        <is>
          <t>全聯會一字第1030198</t>
        </is>
      </c>
      <c r="K58" s="10" t="inlineStr">
        <is>
          <t>中市</t>
        </is>
      </c>
      <c r="L58" s="10" t="inlineStr">
        <is>
          <t>103/06/05</t>
        </is>
      </c>
      <c r="M58" s="10" t="inlineStr">
        <is>
          <t>769</t>
        </is>
      </c>
      <c r="N58" s="10" t="inlineStr">
        <is>
          <t>2026-06-05</t>
        </is>
      </c>
      <c r="O58" s="11" t="inlineStr">
        <is>
          <t>https://www.roccpa.org.tw/member_search/more?id=9D4F1C8D-8AAB-4007-9D82-738721BF2780</t>
        </is>
      </c>
    </row>
    <row r="59">
      <c r="A59" s="10" t="n">
        <v>58</v>
      </c>
      <c r="B59" s="11" t="inlineStr">
        <is>
          <t>安永聯合會計師事務所</t>
        </is>
      </c>
      <c r="C59" s="11" t="inlineStr">
        <is>
          <t>EY 安永</t>
        </is>
      </c>
      <c r="D59" s="11" t="inlineStr">
        <is>
          <t>黃宇廷</t>
        </is>
      </c>
      <c r="E59" s="10" t="inlineStr">
        <is>
          <t>台中分所</t>
        </is>
      </c>
      <c r="F59" s="12" t="inlineStr">
        <is>
          <t>台中市西屯區市政北七路186號26樓</t>
        </is>
      </c>
      <c r="G59" s="12" t="inlineStr">
        <is>
          <t>台北市信義區基隆路一段333號9樓</t>
        </is>
      </c>
      <c r="H59" s="12" t="inlineStr">
        <is>
          <t>台中市西屯區市政北七路186號26樓</t>
        </is>
      </c>
      <c r="I59" s="10" t="inlineStr">
        <is>
          <t>108/07/25</t>
        </is>
      </c>
      <c r="J59" s="11" t="inlineStr">
        <is>
          <t>全聯會一字第1080286</t>
        </is>
      </c>
      <c r="K59" s="10" t="inlineStr">
        <is>
          <t>中市</t>
        </is>
      </c>
      <c r="L59" s="10" t="inlineStr">
        <is>
          <t>108/07/25</t>
        </is>
      </c>
      <c r="M59" s="10" t="inlineStr">
        <is>
          <t>976</t>
        </is>
      </c>
      <c r="N59" s="10" t="inlineStr">
        <is>
          <t>2026-06-05</t>
        </is>
      </c>
      <c r="O59" s="11" t="inlineStr">
        <is>
          <t>https://www.roccpa.org.tw/member_search/more?id=168371FB-6B07-4F0A-AAE2-2C61AFDB43E0</t>
        </is>
      </c>
    </row>
    <row r="60">
      <c r="A60" s="10" t="n">
        <v>59</v>
      </c>
      <c r="B60" s="11" t="inlineStr">
        <is>
          <t>安永聯合會計師事務所</t>
        </is>
      </c>
      <c r="C60" s="11" t="inlineStr">
        <is>
          <t>EY 安永</t>
        </is>
      </c>
      <c r="D60" s="11" t="inlineStr">
        <is>
          <t>黃靖雅</t>
        </is>
      </c>
      <c r="E60" s="10" t="inlineStr">
        <is>
          <t>台中分所</t>
        </is>
      </c>
      <c r="F60" s="12" t="inlineStr">
        <is>
          <t>台中市西屯區市政北七路186號26樓</t>
        </is>
      </c>
      <c r="G60" s="12" t="inlineStr">
        <is>
          <t>台北市信義區基隆路一段333號9樓</t>
        </is>
      </c>
      <c r="H60" s="12" t="inlineStr">
        <is>
          <t>台中市西屯區市政北七路186號26樓</t>
        </is>
      </c>
      <c r="I60" s="10" t="inlineStr">
        <is>
          <t>112/06/29</t>
        </is>
      </c>
      <c r="J60" s="11" t="inlineStr">
        <is>
          <t>全聯會一字第1120257</t>
        </is>
      </c>
      <c r="K60" s="10" t="inlineStr">
        <is>
          <t>中市</t>
        </is>
      </c>
      <c r="L60" s="10" t="inlineStr">
        <is>
          <t>112/06/29</t>
        </is>
      </c>
      <c r="M60" s="10" t="inlineStr">
        <is>
          <t>1090</t>
        </is>
      </c>
      <c r="N60" s="10" t="inlineStr">
        <is>
          <t>2026-06-05</t>
        </is>
      </c>
      <c r="O60" s="11" t="inlineStr">
        <is>
          <t>https://www.roccpa.org.tw/member_search/more?id=F50E2F4A-78C7-45BA-A897-655F5A8C854F</t>
        </is>
      </c>
    </row>
    <row r="61">
      <c r="A61" s="10" t="n">
        <v>60</v>
      </c>
      <c r="B61" s="11" t="inlineStr">
        <is>
          <t>安永聯合會計師事務所</t>
        </is>
      </c>
      <c r="C61" s="11" t="inlineStr">
        <is>
          <t>EY 安永</t>
        </is>
      </c>
      <c r="D61" s="11" t="inlineStr">
        <is>
          <t>姚世傑</t>
        </is>
      </c>
      <c r="E61" s="10" t="inlineStr">
        <is>
          <t>台南分所</t>
        </is>
      </c>
      <c r="F61" s="12" t="inlineStr">
        <is>
          <t>台南市中西區永福路一段189號11樓</t>
        </is>
      </c>
      <c r="G61" s="12" t="inlineStr">
        <is>
          <t>台北市信義區基隆路一段333號9樓</t>
        </is>
      </c>
      <c r="H61" s="12" t="inlineStr">
        <is>
          <t>台南市中西區永福路一段189號11樓</t>
        </is>
      </c>
      <c r="I61" s="10" t="inlineStr">
        <is>
          <t>113/07/15</t>
        </is>
      </c>
      <c r="J61" s="11" t="inlineStr">
        <is>
          <t>全聯會一字第1130000326號</t>
        </is>
      </c>
      <c r="K61" s="10" t="inlineStr">
        <is>
          <t>省</t>
        </is>
      </c>
      <c r="L61" s="10" t="inlineStr">
        <is>
          <t>113/07/15</t>
        </is>
      </c>
      <c r="M61" s="10" t="inlineStr">
        <is>
          <t>5043</t>
        </is>
      </c>
      <c r="N61" s="10" t="inlineStr">
        <is>
          <t>2026-06-05</t>
        </is>
      </c>
      <c r="O61" s="11" t="inlineStr">
        <is>
          <t>https://www.roccpa.org.tw/member_search/more?id=67DCF218-135E-441B-ADFD-4B6B62CC6406</t>
        </is>
      </c>
    </row>
    <row r="62">
      <c r="A62" s="10" t="n">
        <v>61</v>
      </c>
      <c r="B62" s="11" t="inlineStr">
        <is>
          <t>安永聯合會計師事務所</t>
        </is>
      </c>
      <c r="C62" s="11" t="inlineStr">
        <is>
          <t>EY 安永</t>
        </is>
      </c>
      <c r="D62" s="11" t="inlineStr">
        <is>
          <t>洪國森</t>
        </is>
      </c>
      <c r="E62" s="10" t="inlineStr">
        <is>
          <t>台南分所</t>
        </is>
      </c>
      <c r="F62" s="12" t="inlineStr">
        <is>
          <t>台南市中西區永福路一段189號11樓</t>
        </is>
      </c>
      <c r="G62" s="12" t="inlineStr">
        <is>
          <t>台北市信義區基隆路一段333號9樓</t>
        </is>
      </c>
      <c r="H62" s="12" t="inlineStr">
        <is>
          <t>台南市中西區永福路一段189號11樓</t>
        </is>
      </c>
      <c r="I62" s="10" t="inlineStr">
        <is>
          <t>110/06/25</t>
        </is>
      </c>
      <c r="J62" s="11" t="inlineStr">
        <is>
          <t>全聯會一字第1100259</t>
        </is>
      </c>
      <c r="K62" s="10" t="inlineStr">
        <is>
          <t>省</t>
        </is>
      </c>
      <c r="L62" s="10" t="inlineStr">
        <is>
          <t>110/06/25</t>
        </is>
      </c>
      <c r="M62" s="10" t="inlineStr">
        <is>
          <t>4813</t>
        </is>
      </c>
      <c r="N62" s="10" t="inlineStr">
        <is>
          <t>2026-06-05</t>
        </is>
      </c>
      <c r="O62" s="11" t="inlineStr">
        <is>
          <t>https://www.roccpa.org.tw/member_search/more?id=FC1BB413-EDE2-47EC-8B0C-8220605FF488</t>
        </is>
      </c>
    </row>
    <row r="63">
      <c r="A63" s="10" t="n">
        <v>62</v>
      </c>
      <c r="B63" s="11" t="inlineStr">
        <is>
          <t>安永聯合會計師事務所</t>
        </is>
      </c>
      <c r="C63" s="11" t="inlineStr">
        <is>
          <t>EY 安永</t>
        </is>
      </c>
      <c r="D63" s="11" t="inlineStr">
        <is>
          <t>胡子仁</t>
        </is>
      </c>
      <c r="E63" s="10" t="inlineStr">
        <is>
          <t>台南分所</t>
        </is>
      </c>
      <c r="F63" s="12" t="inlineStr">
        <is>
          <t>台南市中西區永福路一段189號11樓</t>
        </is>
      </c>
      <c r="G63" s="12" t="inlineStr">
        <is>
          <t>台北市信義區基隆路一段333號9樓</t>
        </is>
      </c>
      <c r="H63" s="12" t="inlineStr">
        <is>
          <t>台南市中西區永福路一段189號11樓</t>
        </is>
      </c>
      <c r="I63" s="10" t="inlineStr">
        <is>
          <t>101/08/14</t>
        </is>
      </c>
      <c r="J63" s="11" t="inlineStr">
        <is>
          <t>全聯會一字第1010273</t>
        </is>
      </c>
      <c r="K63" s="10" t="inlineStr">
        <is>
          <t>省</t>
        </is>
      </c>
      <c r="L63" s="10" t="inlineStr">
        <is>
          <t>101/09/03</t>
        </is>
      </c>
      <c r="M63" s="10" t="inlineStr">
        <is>
          <t>4007</t>
        </is>
      </c>
      <c r="N63" s="10" t="inlineStr">
        <is>
          <t>2026-06-05</t>
        </is>
      </c>
      <c r="O63" s="11" t="inlineStr">
        <is>
          <t>https://www.roccpa.org.tw/member_search/more?id=13FF5FAD-7731-4DEB-A38A-A99E34DF28D7</t>
        </is>
      </c>
    </row>
    <row r="64">
      <c r="A64" s="10" t="n">
        <v>63</v>
      </c>
      <c r="B64" s="11" t="inlineStr">
        <is>
          <t>安永聯合會計師事務所</t>
        </is>
      </c>
      <c r="C64" s="11" t="inlineStr">
        <is>
          <t>EY 安永</t>
        </is>
      </c>
      <c r="D64" s="11" t="inlineStr">
        <is>
          <t>吳文賓</t>
        </is>
      </c>
      <c r="E64" s="10" t="inlineStr">
        <is>
          <t>高雄分所</t>
        </is>
      </c>
      <c r="F64" s="12" t="inlineStr">
        <is>
          <t>高雄市新興區中正三路2號17樓</t>
        </is>
      </c>
      <c r="G64" s="12" t="inlineStr">
        <is>
          <t>台北市信義區基隆路一段333號9樓</t>
        </is>
      </c>
      <c r="H64" s="12" t="inlineStr">
        <is>
          <t>高雄市新興區中正三路2號17樓</t>
        </is>
      </c>
      <c r="I64" s="10" t="inlineStr"/>
      <c r="J64" s="11" t="inlineStr"/>
      <c r="K64" s="10" t="inlineStr">
        <is>
          <t>高市</t>
        </is>
      </c>
      <c r="L64" s="10" t="inlineStr">
        <is>
          <t>105/09/20</t>
        </is>
      </c>
      <c r="M64" s="10" t="inlineStr">
        <is>
          <t>1013</t>
        </is>
      </c>
      <c r="N64" s="10" t="inlineStr">
        <is>
          <t>2026-06-05</t>
        </is>
      </c>
      <c r="O64" s="11" t="inlineStr">
        <is>
          <t>https://www.roccpa.org.tw/member_search/more?id=EAC26173-A603-428D-B966-743CC01ED09C</t>
        </is>
      </c>
    </row>
    <row r="65">
      <c r="A65" s="10" t="n">
        <v>64</v>
      </c>
      <c r="B65" s="11" t="inlineStr">
        <is>
          <t>安永聯合會計師事務所</t>
        </is>
      </c>
      <c r="C65" s="11" t="inlineStr">
        <is>
          <t>EY 安永</t>
        </is>
      </c>
      <c r="D65" s="11" t="inlineStr">
        <is>
          <t>李芳文</t>
        </is>
      </c>
      <c r="E65" s="10" t="inlineStr">
        <is>
          <t>高雄分所</t>
        </is>
      </c>
      <c r="F65" s="12" t="inlineStr">
        <is>
          <t>高雄市新興區中正三路2號17樓</t>
        </is>
      </c>
      <c r="G65" s="12" t="inlineStr">
        <is>
          <t>台北市信義區基隆路一段333號9樓</t>
        </is>
      </c>
      <c r="H65" s="12" t="inlineStr">
        <is>
          <t>高雄市新興區中正三路2號17樓</t>
        </is>
      </c>
      <c r="I65" s="10" t="inlineStr">
        <is>
          <t>101/08/14</t>
        </is>
      </c>
      <c r="J65" s="11" t="inlineStr">
        <is>
          <t>全聯會一字第1010272</t>
        </is>
      </c>
      <c r="K65" s="10" t="inlineStr">
        <is>
          <t>高市</t>
        </is>
      </c>
      <c r="L65" s="10" t="inlineStr">
        <is>
          <t>101/09/03</t>
        </is>
      </c>
      <c r="M65" s="10" t="inlineStr">
        <is>
          <t>819</t>
        </is>
      </c>
      <c r="N65" s="10" t="inlineStr">
        <is>
          <t>2026-06-05</t>
        </is>
      </c>
      <c r="O65" s="11" t="inlineStr">
        <is>
          <t>https://www.roccpa.org.tw/member_search/more?id=28677B91-A44C-4BB9-92F6-9677670A9796</t>
        </is>
      </c>
    </row>
    <row r="66">
      <c r="A66" s="10" t="n">
        <v>65</v>
      </c>
      <c r="B66" s="11" t="inlineStr">
        <is>
          <t>安永聯合會計師事務所</t>
        </is>
      </c>
      <c r="C66" s="11" t="inlineStr">
        <is>
          <t>EY 安永</t>
        </is>
      </c>
      <c r="D66" s="11" t="inlineStr">
        <is>
          <t>洪福讚</t>
        </is>
      </c>
      <c r="E66" s="10" t="inlineStr">
        <is>
          <t>高雄分所</t>
        </is>
      </c>
      <c r="F66" s="12" t="inlineStr">
        <is>
          <t>高雄市新興區中正三路2號17樓</t>
        </is>
      </c>
      <c r="G66" s="12" t="inlineStr">
        <is>
          <t>台北市信義區基隆路一段333號9樓</t>
        </is>
      </c>
      <c r="H66" s="12" t="inlineStr">
        <is>
          <t>高雄市新興區中正三路2號17樓</t>
        </is>
      </c>
      <c r="I66" s="10" t="inlineStr">
        <is>
          <t>115/07/01</t>
        </is>
      </c>
      <c r="J66" s="11" t="inlineStr">
        <is>
          <t>全聯會一字第1150000320號</t>
        </is>
      </c>
      <c r="K66" s="10" t="inlineStr">
        <is>
          <t>高市</t>
        </is>
      </c>
      <c r="L66" s="10" t="inlineStr">
        <is>
          <t>115/07/01</t>
        </is>
      </c>
      <c r="M66" s="10" t="inlineStr">
        <is>
          <t>1177</t>
        </is>
      </c>
      <c r="N66" s="10" t="inlineStr">
        <is>
          <t>2026-07-06</t>
        </is>
      </c>
      <c r="O66" s="11" t="inlineStr">
        <is>
          <t>https://www.roccpa.org.tw/member_search/more?id=354c96a547214dacb6935b7662bb48e5</t>
        </is>
      </c>
    </row>
    <row r="67">
      <c r="A67" s="10" t="n">
        <v>66</v>
      </c>
      <c r="B67" s="11" t="inlineStr">
        <is>
          <t>安永聯合會計師事務所</t>
        </is>
      </c>
      <c r="C67" s="11" t="inlineStr">
        <is>
          <t>EY 安永</t>
        </is>
      </c>
      <c r="D67" s="11" t="inlineStr">
        <is>
          <t>陳政初</t>
        </is>
      </c>
      <c r="E67" s="10" t="inlineStr">
        <is>
          <t>高雄分所</t>
        </is>
      </c>
      <c r="F67" s="12" t="inlineStr">
        <is>
          <t>高雄市新興區中正三路2號17樓</t>
        </is>
      </c>
      <c r="G67" s="12" t="inlineStr">
        <is>
          <t>台北市信義區基隆路一段333號9樓</t>
        </is>
      </c>
      <c r="H67" s="12" t="inlineStr">
        <is>
          <t>高雄市新興區中正三路2號17樓</t>
        </is>
      </c>
      <c r="I67" s="10" t="inlineStr"/>
      <c r="J67" s="11" t="inlineStr"/>
      <c r="K67" s="10" t="inlineStr">
        <is>
          <t>高市</t>
        </is>
      </c>
      <c r="L67" s="10" t="inlineStr">
        <is>
          <t>088/11/25</t>
        </is>
      </c>
      <c r="M67" s="10" t="inlineStr">
        <is>
          <t>437</t>
        </is>
      </c>
      <c r="N67" s="10" t="inlineStr">
        <is>
          <t>2026-06-05</t>
        </is>
      </c>
      <c r="O67" s="11" t="inlineStr">
        <is>
          <t>https://www.roccpa.org.tw/member_search/more?id=57FE5C7F-98FA-40F5-B488-E6AA0A3C4E7A</t>
        </is>
      </c>
    </row>
  </sheetData>
  <autoFilter ref="A1:O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2026-09-10T01:53:56Z</dcterms:created>
  <dcterms:modified xsi:type="dcterms:W3CDTF">2026-09-10T01:53:57Z</dcterms:modified>
</cp:coreProperties>
</file>